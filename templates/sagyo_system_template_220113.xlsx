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12路網整備再造林対策\06_ゾーニング手法\"/>
    </mc:Choice>
  </mc:AlternateContent>
  <xr:revisionPtr revIDLastSave="0" documentId="13_ncr:1_{BB5097E4-CC08-479B-B0F4-78DDD1726B64}" xr6:coauthVersionLast="47" xr6:coauthVersionMax="47" xr10:uidLastSave="{00000000-0000-0000-0000-000000000000}"/>
  <bookViews>
    <workbookView xWindow="-110" yWindow="-110" windowWidth="19420" windowHeight="11020" xr2:uid="{D4BA2451-D167-4CC2-BBD1-8FC339CB9E81}"/>
  </bookViews>
  <sheets>
    <sheet name="入力" sheetId="1" r:id="rId1"/>
    <sheet name="入力例" sheetId="5" r:id="rId2"/>
    <sheet name="CSVで出力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8" i="2"/>
  <c r="B17" i="2"/>
  <c r="B16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<sst xmlns="http://schemas.openxmlformats.org/spreadsheetml/2006/main" count="113" uniqueCount="36">
  <si>
    <t>傾斜（度）</t>
    <rPh sb="0" eb="2">
      <t>ケイシャ</t>
    </rPh>
    <rPh sb="3" eb="4">
      <t>ド</t>
    </rPh>
    <phoneticPr fontId="1"/>
  </si>
  <si>
    <t>CTL</t>
  </si>
  <si>
    <t>9-13tグラップル</t>
  </si>
  <si>
    <t>9-13tウィンチ</t>
  </si>
  <si>
    <t>9-13tスイングヤーダ</t>
  </si>
  <si>
    <t>6-8tウィンチ</t>
  </si>
  <si>
    <t>3-4tウィンチ</t>
  </si>
  <si>
    <t>本架線</t>
    <rPh sb="0" eb="3">
      <t>ホンカセン</t>
    </rPh>
    <phoneticPr fontId="1"/>
  </si>
  <si>
    <t>①作業システム</t>
    <rPh sb="1" eb="3">
      <t>サギョウ</t>
    </rPh>
    <phoneticPr fontId="1"/>
  </si>
  <si>
    <t>地域で使用されている作業システム（林業機械）について、①作業システムに入力してください。（10種類まで入力可能です。）</t>
    <rPh sb="0" eb="2">
      <t>チイキ</t>
    </rPh>
    <rPh sb="3" eb="5">
      <t>シヨウ</t>
    </rPh>
    <rPh sb="10" eb="12">
      <t>サギョウ</t>
    </rPh>
    <rPh sb="17" eb="21">
      <t>リンギョウキカイ</t>
    </rPh>
    <rPh sb="28" eb="30">
      <t>サギョウ</t>
    </rPh>
    <rPh sb="35" eb="37">
      <t>ニュウリョク</t>
    </rPh>
    <rPh sb="47" eb="49">
      <t>シュルイ</t>
    </rPh>
    <rPh sb="51" eb="53">
      <t>ニュウリョク</t>
    </rPh>
    <rPh sb="53" eb="55">
      <t>カノウ</t>
    </rPh>
    <phoneticPr fontId="1"/>
  </si>
  <si>
    <t>タワーヤーダ</t>
  </si>
  <si>
    <t>6-8tスイングヤーダ</t>
  </si>
  <si>
    <t>コード</t>
    <phoneticPr fontId="1"/>
  </si>
  <si>
    <t>収益性が高い
集材コストが低い</t>
    <rPh sb="0" eb="3">
      <t>シュウエキセイ</t>
    </rPh>
    <rPh sb="4" eb="5">
      <t>タカ</t>
    </rPh>
    <rPh sb="7" eb="9">
      <t>シュウザイ</t>
    </rPh>
    <rPh sb="13" eb="14">
      <t>ヒク</t>
    </rPh>
    <phoneticPr fontId="1"/>
  </si>
  <si>
    <t>収益性が低い
集材コストが高い</t>
    <rPh sb="0" eb="3">
      <t>シュウエキセイ</t>
    </rPh>
    <rPh sb="4" eb="5">
      <t>ヒク</t>
    </rPh>
    <rPh sb="7" eb="9">
      <t>シュウザイ</t>
    </rPh>
    <rPh sb="13" eb="14">
      <t>タカ</t>
    </rPh>
    <phoneticPr fontId="1"/>
  </si>
  <si>
    <t>意味</t>
    <rPh sb="0" eb="2">
      <t>イミ</t>
    </rPh>
    <phoneticPr fontId="1"/>
  </si>
  <si>
    <t>②傾斜と起伏量による作業システムの対応</t>
    <rPh sb="1" eb="3">
      <t>ケイシャ</t>
    </rPh>
    <rPh sb="4" eb="7">
      <t>キフクリョウ</t>
    </rPh>
    <rPh sb="10" eb="12">
      <t>サギョウ</t>
    </rPh>
    <rPh sb="17" eb="19">
      <t>タイオウ</t>
    </rPh>
    <phoneticPr fontId="1"/>
  </si>
  <si>
    <t>②は、その作業システムが対応可能な起伏量、傾斜に合わせて選択してください。</t>
    <rPh sb="5" eb="7">
      <t>サギョウ</t>
    </rPh>
    <rPh sb="12" eb="16">
      <t>タイオウカノウ</t>
    </rPh>
    <rPh sb="17" eb="20">
      <t>キフクリョウ</t>
    </rPh>
    <rPh sb="21" eb="23">
      <t>ケイシャ</t>
    </rPh>
    <rPh sb="24" eb="25">
      <t>ア</t>
    </rPh>
    <rPh sb="28" eb="30">
      <t>センタク</t>
    </rPh>
    <phoneticPr fontId="1"/>
  </si>
  <si>
    <t>作業効率が良く集材コストが低い、収益性が高い作業システムをコード10に、上から順に入力してください。最終的には高（3点）中（2点）低（１点）の3区分となります。</t>
    <rPh sb="0" eb="4">
      <t>サギョウコウリツ</t>
    </rPh>
    <rPh sb="5" eb="6">
      <t>ヨ</t>
    </rPh>
    <rPh sb="7" eb="9">
      <t>シュウザイ</t>
    </rPh>
    <rPh sb="13" eb="14">
      <t>ヒク</t>
    </rPh>
    <rPh sb="16" eb="19">
      <t>シュウエキセイ</t>
    </rPh>
    <rPh sb="20" eb="21">
      <t>タカ</t>
    </rPh>
    <rPh sb="22" eb="24">
      <t>サギョウ</t>
    </rPh>
    <rPh sb="36" eb="37">
      <t>ウエ</t>
    </rPh>
    <rPh sb="39" eb="40">
      <t>ジュン</t>
    </rPh>
    <rPh sb="41" eb="43">
      <t>ニュウリョク</t>
    </rPh>
    <rPh sb="50" eb="53">
      <t>サイシュウテキ</t>
    </rPh>
    <rPh sb="55" eb="56">
      <t>コウ</t>
    </rPh>
    <rPh sb="58" eb="59">
      <t>テン</t>
    </rPh>
    <rPh sb="60" eb="61">
      <t>チュウ</t>
    </rPh>
    <rPh sb="63" eb="64">
      <t>テン</t>
    </rPh>
    <rPh sb="65" eb="66">
      <t>テイ</t>
    </rPh>
    <rPh sb="68" eb="69">
      <t>テン</t>
    </rPh>
    <rPh sb="72" eb="74">
      <t>クブン</t>
    </rPh>
    <phoneticPr fontId="1"/>
  </si>
  <si>
    <t>要素「集材作業効率」の点数設定</t>
    <rPh sb="0" eb="2">
      <t>ヨウソ</t>
    </rPh>
    <rPh sb="3" eb="7">
      <t>シュウザイサギョウ</t>
    </rPh>
    <rPh sb="7" eb="9">
      <t>コウリツ</t>
    </rPh>
    <rPh sb="11" eb="13">
      <t>テンスウ</t>
    </rPh>
    <rPh sb="13" eb="15">
      <t>セッテイ</t>
    </rPh>
    <phoneticPr fontId="1"/>
  </si>
  <si>
    <t>code</t>
  </si>
  <si>
    <t>name</t>
  </si>
  <si>
    <t>該当なし</t>
  </si>
  <si>
    <t>右図②で空白の範囲は0となります。</t>
    <rPh sb="0" eb="2">
      <t>ミギズ</t>
    </rPh>
    <rPh sb="4" eb="6">
      <t>クウハク</t>
    </rPh>
    <rPh sb="7" eb="9">
      <t>ハンイ</t>
    </rPh>
    <phoneticPr fontId="1"/>
  </si>
  <si>
    <t>一般に地形（傾斜と起伏量の組合せ）が厳しいと架線系の作業システムとなり集材コストが上がり（集材作業効率が低い）、収益性が低くなるという傾向があります。</t>
    <rPh sb="0" eb="2">
      <t>イッパン</t>
    </rPh>
    <rPh sb="3" eb="5">
      <t>チケイ</t>
    </rPh>
    <rPh sb="6" eb="8">
      <t>ケイシャ</t>
    </rPh>
    <rPh sb="9" eb="12">
      <t>キフクリョウ</t>
    </rPh>
    <rPh sb="13" eb="15">
      <t>クミアワ</t>
    </rPh>
    <rPh sb="18" eb="19">
      <t>キビ</t>
    </rPh>
    <rPh sb="22" eb="25">
      <t>カセンケイ</t>
    </rPh>
    <rPh sb="26" eb="28">
      <t>サギョウ</t>
    </rPh>
    <rPh sb="35" eb="37">
      <t>シュウザイ</t>
    </rPh>
    <rPh sb="41" eb="42">
      <t>ア</t>
    </rPh>
    <rPh sb="45" eb="51">
      <t>シュウザイサギョウコウリツ</t>
    </rPh>
    <rPh sb="52" eb="53">
      <t>ヒク</t>
    </rPh>
    <rPh sb="56" eb="59">
      <t>シュウエキセイ</t>
    </rPh>
    <rPh sb="60" eb="61">
      <t>ヒク</t>
    </rPh>
    <rPh sb="67" eb="69">
      <t>ケイコウ</t>
    </rPh>
    <phoneticPr fontId="1"/>
  </si>
  <si>
    <t>要素「集材作業効率」では、地形に基づいた集材作業効率が収益性を示すと考えます。</t>
    <rPh sb="3" eb="9">
      <t>シュウザイサギョウコウリツ</t>
    </rPh>
    <rPh sb="13" eb="15">
      <t>チケイ</t>
    </rPh>
    <rPh sb="16" eb="17">
      <t>モト</t>
    </rPh>
    <rPh sb="20" eb="26">
      <t>シュウザイサギョウコウリツ</t>
    </rPh>
    <rPh sb="27" eb="30">
      <t>シュウエキセイ</t>
    </rPh>
    <rPh sb="31" eb="32">
      <t>シメ</t>
    </rPh>
    <rPh sb="34" eb="35">
      <t>カンガ</t>
    </rPh>
    <phoneticPr fontId="1"/>
  </si>
  <si>
    <r>
      <t xml:space="preserve">起伏量（m）
</t>
    </r>
    <r>
      <rPr>
        <sz val="10"/>
        <color theme="1"/>
        <rFont val="BIZ UDPゴシック"/>
        <family val="3"/>
        <charset val="128"/>
      </rPr>
      <t>500×500m範囲内の最大標高と最小標高の差</t>
    </r>
    <rPh sb="0" eb="3">
      <t>キフクリョウ</t>
    </rPh>
    <phoneticPr fontId="1"/>
  </si>
  <si>
    <r>
      <t>①作業システム　ピンクの欄に入力した区分を➁の傾斜と起伏量の組合せに合わせて選択してください。
最後に</t>
    </r>
    <r>
      <rPr>
        <b/>
        <sz val="11"/>
        <color rgb="FFFF0000"/>
        <rFont val="BIZ UDPゴシック"/>
        <family val="3"/>
        <charset val="128"/>
      </rPr>
      <t>「CSVで出力」シート</t>
    </r>
    <r>
      <rPr>
        <sz val="11"/>
        <color theme="1"/>
        <rFont val="BIZ UDPゴシック"/>
        <family val="3"/>
        <charset val="128"/>
      </rPr>
      <t>を開き、ファイル→名前を付けて保存→</t>
    </r>
    <r>
      <rPr>
        <b/>
        <sz val="11"/>
        <color rgb="FFFF0000"/>
        <rFont val="BIZ UDPゴシック"/>
        <family val="3"/>
        <charset val="128"/>
      </rPr>
      <t>「SAGYO-SYSTEM_CSV」フォルダにCSV形式</t>
    </r>
    <r>
      <rPr>
        <sz val="11"/>
        <color theme="1"/>
        <rFont val="BIZ UDPゴシック"/>
        <family val="3"/>
        <charset val="128"/>
      </rPr>
      <t xml:space="preserve">を選んで保存してください。
</t>
    </r>
    <r>
      <rPr>
        <b/>
        <sz val="11"/>
        <color rgb="FFFF0000"/>
        <rFont val="BIZ UDPゴシック"/>
        <family val="3"/>
        <charset val="128"/>
      </rPr>
      <t>ファイル名は半角英数</t>
    </r>
    <r>
      <rPr>
        <sz val="11"/>
        <color theme="1"/>
        <rFont val="BIZ UDPゴシック"/>
        <family val="3"/>
        <charset val="128"/>
      </rPr>
      <t>としてください。</t>
    </r>
    <rPh sb="1" eb="3">
      <t>サギョウ</t>
    </rPh>
    <rPh sb="12" eb="13">
      <t>ラン</t>
    </rPh>
    <rPh sb="14" eb="16">
      <t>ニュウリョク</t>
    </rPh>
    <rPh sb="18" eb="20">
      <t>クブン</t>
    </rPh>
    <rPh sb="23" eb="25">
      <t>ケイシャ</t>
    </rPh>
    <rPh sb="26" eb="29">
      <t>キフクリョウ</t>
    </rPh>
    <rPh sb="30" eb="32">
      <t>クミアワ</t>
    </rPh>
    <rPh sb="34" eb="35">
      <t>ア</t>
    </rPh>
    <rPh sb="38" eb="40">
      <t>センタク</t>
    </rPh>
    <rPh sb="48" eb="50">
      <t>サイゴ</t>
    </rPh>
    <rPh sb="56" eb="58">
      <t>シュツリョク</t>
    </rPh>
    <rPh sb="63" eb="64">
      <t>ヒラ</t>
    </rPh>
    <rPh sb="71" eb="73">
      <t>ナマエ</t>
    </rPh>
    <rPh sb="74" eb="75">
      <t>ツ</t>
    </rPh>
    <rPh sb="77" eb="79">
      <t>ホゾン</t>
    </rPh>
    <rPh sb="106" eb="108">
      <t>ケイシキ</t>
    </rPh>
    <rPh sb="109" eb="110">
      <t>エラ</t>
    </rPh>
    <rPh sb="112" eb="114">
      <t>ホゾン</t>
    </rPh>
    <rPh sb="126" eb="127">
      <t>メイ</t>
    </rPh>
    <rPh sb="128" eb="130">
      <t>ハンカク</t>
    </rPh>
    <rPh sb="130" eb="132">
      <t>エイスウ</t>
    </rPh>
    <phoneticPr fontId="1"/>
  </si>
  <si>
    <t>要素「集材作業効率」の点数設定（例）</t>
    <rPh sb="0" eb="2">
      <t>ヨウソ</t>
    </rPh>
    <rPh sb="3" eb="7">
      <t>シュウザイサギョウ</t>
    </rPh>
    <rPh sb="7" eb="9">
      <t>コウリツ</t>
    </rPh>
    <rPh sb="11" eb="13">
      <t>テンスウ</t>
    </rPh>
    <rPh sb="13" eb="15">
      <t>セッテイ</t>
    </rPh>
    <rPh sb="16" eb="17">
      <t>レイ</t>
    </rPh>
    <phoneticPr fontId="1"/>
  </si>
  <si>
    <t>ー</t>
  </si>
  <si>
    <t>10：集材作業効率高い</t>
    <rPh sb="3" eb="7">
      <t>シュウザイサギョウ</t>
    </rPh>
    <rPh sb="7" eb="9">
      <t>コウリツ</t>
    </rPh>
    <rPh sb="9" eb="10">
      <t>タカ</t>
    </rPh>
    <phoneticPr fontId="1"/>
  </si>
  <si>
    <t>１：集材作業効率低い</t>
    <rPh sb="2" eb="4">
      <t>シュウザイ</t>
    </rPh>
    <rPh sb="4" eb="6">
      <t>サギョウ</t>
    </rPh>
    <rPh sb="6" eb="8">
      <t>コウリツ</t>
    </rPh>
    <rPh sb="8" eb="9">
      <t>ヒク</t>
    </rPh>
    <phoneticPr fontId="1"/>
  </si>
  <si>
    <t>集材作業効率が高い
集材コストが低い</t>
    <rPh sb="0" eb="6">
      <t>シュウザイサギョウコウリツ</t>
    </rPh>
    <rPh sb="7" eb="8">
      <t>タカ</t>
    </rPh>
    <rPh sb="10" eb="12">
      <t>シュウザイ</t>
    </rPh>
    <rPh sb="16" eb="17">
      <t>ヒク</t>
    </rPh>
    <phoneticPr fontId="1"/>
  </si>
  <si>
    <t>集材作業効率が低い
集材コストが高い</t>
    <rPh sb="0" eb="6">
      <t>シュウザイサギョウコウリツ</t>
    </rPh>
    <rPh sb="7" eb="8">
      <t>ヒク</t>
    </rPh>
    <rPh sb="10" eb="12">
      <t>シュウザイ</t>
    </rPh>
    <rPh sb="16" eb="17">
      <t>タカ</t>
    </rPh>
    <phoneticPr fontId="1"/>
  </si>
  <si>
    <t>0
（0以上
15未満）</t>
    <rPh sb="4" eb="6">
      <t>イジョウ</t>
    </rPh>
    <rPh sb="9" eb="11">
      <t>ミマン</t>
    </rPh>
    <phoneticPr fontId="1"/>
  </si>
  <si>
    <t>（0以上
100未満）
0</t>
    <rPh sb="2" eb="4">
      <t>イジョウ</t>
    </rPh>
    <rPh sb="8" eb="10">
      <t>ミマン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</si>
</sst>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b/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sz val="11"/>
      <color rgb="FFFF0000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right" wrapText="1"/>
    </xf>
  </cellXfs>
  <cellStyles count="1">
    <cellStyle name="標準" xfId="0" builtinId="0"/>
  </cellStyles>
  <dxfs count="20">
    <dxf>
      <fill>
        <patternFill>
          <bgColor rgb="FFFF505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66"/>
        </patternFill>
      </fill>
    </dxf>
    <dxf>
      <fill>
        <patternFill>
          <bgColor rgb="FFA7D971"/>
        </patternFill>
      </fill>
    </dxf>
    <dxf>
      <fill>
        <patternFill>
          <bgColor rgb="FF00C85A"/>
        </patternFill>
      </fill>
    </dxf>
    <dxf>
      <fill>
        <patternFill>
          <bgColor rgb="FF0083E6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rgb="FFCCECFF"/>
        </patternFill>
      </fill>
    </dxf>
    <dxf>
      <fill>
        <patternFill>
          <bgColor rgb="FFFF505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66"/>
        </patternFill>
      </fill>
    </dxf>
    <dxf>
      <fill>
        <patternFill>
          <bgColor rgb="FFA7D971"/>
        </patternFill>
      </fill>
    </dxf>
    <dxf>
      <fill>
        <patternFill>
          <bgColor rgb="FF00C85A"/>
        </patternFill>
      </fill>
    </dxf>
    <dxf>
      <fill>
        <patternFill>
          <bgColor rgb="FF0083E6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rgb="FFCCECFF"/>
        </patternFill>
      </fill>
    </dxf>
  </dxfs>
  <tableStyles count="0" defaultTableStyle="TableStyleMedium2" defaultPivotStyle="PivotStyleLight16"/>
  <colors>
    <mruColors>
      <color rgb="FFFF99CC"/>
      <color rgb="FF0083E6"/>
      <color rgb="FF00C85A"/>
      <color rgb="FFA7D971"/>
      <color rgb="FFCCECFF"/>
      <color rgb="FFCCCCFF"/>
      <color rgb="FFCCFF66"/>
      <color rgb="FFFF9966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8</xdr:row>
      <xdr:rowOff>127000</xdr:rowOff>
    </xdr:from>
    <xdr:to>
      <xdr:col>2</xdr:col>
      <xdr:colOff>783166</xdr:colOff>
      <xdr:row>15</xdr:row>
      <xdr:rowOff>402167</xdr:rowOff>
    </xdr:to>
    <xdr:sp macro="" textlink="">
      <xdr:nvSpPr>
        <xdr:cNvPr id="3" name="矢印: 上下 2">
          <a:extLst>
            <a:ext uri="{FF2B5EF4-FFF2-40B4-BE49-F238E27FC236}">
              <a16:creationId xmlns:a16="http://schemas.microsoft.com/office/drawing/2014/main" id="{0A7E11BD-5A24-4F33-AE3A-86369B039C8E}"/>
            </a:ext>
          </a:extLst>
        </xdr:cNvPr>
        <xdr:cNvSpPr/>
      </xdr:nvSpPr>
      <xdr:spPr>
        <a:xfrm>
          <a:off x="2243667" y="2095500"/>
          <a:ext cx="275166" cy="36830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8</xdr:row>
      <xdr:rowOff>127000</xdr:rowOff>
    </xdr:from>
    <xdr:to>
      <xdr:col>2</xdr:col>
      <xdr:colOff>783166</xdr:colOff>
      <xdr:row>15</xdr:row>
      <xdr:rowOff>402167</xdr:rowOff>
    </xdr:to>
    <xdr:sp macro="" textlink="">
      <xdr:nvSpPr>
        <xdr:cNvPr id="2" name="矢印: 上下 1">
          <a:extLst>
            <a:ext uri="{FF2B5EF4-FFF2-40B4-BE49-F238E27FC236}">
              <a16:creationId xmlns:a16="http://schemas.microsoft.com/office/drawing/2014/main" id="{2B05021A-A52B-4894-96C6-86F5C4E52525}"/>
            </a:ext>
          </a:extLst>
        </xdr:cNvPr>
        <xdr:cNvSpPr/>
      </xdr:nvSpPr>
      <xdr:spPr>
        <a:xfrm>
          <a:off x="2241550" y="2686050"/>
          <a:ext cx="275166" cy="3697817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EC2B-F349-43E1-A5F7-2536498F680A}">
  <sheetPr>
    <tabColor rgb="FFFF0000"/>
  </sheetPr>
  <dimension ref="A1:M20"/>
  <sheetViews>
    <sheetView showGridLines="0" tabSelected="1" topLeftCell="A4" zoomScale="70" zoomScaleNormal="70" workbookViewId="0">
      <selection activeCell="C19" sqref="C19"/>
    </sheetView>
  </sheetViews>
  <sheetFormatPr defaultRowHeight="13" x14ac:dyDescent="0.55000000000000004"/>
  <cols>
    <col min="1" max="1" width="14" style="1" customWidth="1"/>
    <col min="2" max="2" width="8.75" style="1" customWidth="1"/>
    <col min="3" max="3" width="18.4140625" style="1" customWidth="1"/>
    <col min="4" max="4" width="8.4140625" style="1" customWidth="1"/>
    <col min="5" max="5" width="14.83203125" style="1" customWidth="1"/>
    <col min="6" max="6" width="11.1640625" style="1" customWidth="1"/>
    <col min="7" max="12" width="11.75" style="1" customWidth="1"/>
    <col min="13" max="16384" width="8.6640625" style="1"/>
  </cols>
  <sheetData>
    <row r="1" spans="1:13" s="12" customFormat="1" ht="27" customHeight="1" x14ac:dyDescent="0.55000000000000004">
      <c r="A1" s="12" t="s">
        <v>19</v>
      </c>
    </row>
    <row r="2" spans="1:13" ht="16.5" customHeight="1" x14ac:dyDescent="0.55000000000000004"/>
    <row r="3" spans="1:13" ht="16.5" customHeight="1" x14ac:dyDescent="0.55000000000000004">
      <c r="A3" s="1" t="s">
        <v>24</v>
      </c>
    </row>
    <row r="4" spans="1:13" ht="16.5" customHeight="1" x14ac:dyDescent="0.55000000000000004">
      <c r="A4" s="1" t="s">
        <v>25</v>
      </c>
    </row>
    <row r="5" spans="1:13" ht="53.5" customHeight="1" x14ac:dyDescent="0.55000000000000004">
      <c r="A5" s="32" t="s">
        <v>27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ht="16.5" customHeight="1" x14ac:dyDescent="0.55000000000000004"/>
    <row r="7" spans="1:13" ht="16.5" customHeight="1" x14ac:dyDescent="0.55000000000000004">
      <c r="A7" s="11" t="s">
        <v>8</v>
      </c>
      <c r="B7" s="11" t="s">
        <v>12</v>
      </c>
      <c r="C7" s="11" t="s">
        <v>15</v>
      </c>
      <c r="G7" s="29" t="s">
        <v>16</v>
      </c>
      <c r="H7" s="30"/>
      <c r="I7" s="30"/>
      <c r="J7" s="30"/>
      <c r="K7" s="30"/>
      <c r="L7" s="30"/>
    </row>
    <row r="8" spans="1:13" s="2" customFormat="1" ht="38.5" customHeight="1" thickBot="1" x14ac:dyDescent="0.25">
      <c r="A8" s="27" t="s">
        <v>30</v>
      </c>
      <c r="B8" s="14">
        <v>10</v>
      </c>
      <c r="C8" s="8" t="s">
        <v>32</v>
      </c>
      <c r="D8" s="7"/>
      <c r="F8" s="4">
        <v>550</v>
      </c>
      <c r="G8" s="1"/>
      <c r="H8" s="1"/>
      <c r="I8" s="1"/>
      <c r="J8" s="1"/>
      <c r="K8" s="1"/>
      <c r="L8" s="1"/>
      <c r="M8" s="1"/>
    </row>
    <row r="9" spans="1:13" s="2" customFormat="1" ht="38.5" customHeight="1" x14ac:dyDescent="0.2">
      <c r="A9" s="27">
        <v>9</v>
      </c>
      <c r="B9" s="14">
        <v>9</v>
      </c>
      <c r="C9" s="9"/>
      <c r="D9" s="7"/>
      <c r="F9" s="4">
        <v>500</v>
      </c>
      <c r="G9" s="16" t="s">
        <v>31</v>
      </c>
      <c r="H9" s="17" t="s">
        <v>31</v>
      </c>
      <c r="I9" s="17" t="s">
        <v>31</v>
      </c>
      <c r="J9" s="17" t="s">
        <v>31</v>
      </c>
      <c r="K9" s="17" t="s">
        <v>31</v>
      </c>
      <c r="L9" s="18" t="s">
        <v>31</v>
      </c>
      <c r="M9" s="1"/>
    </row>
    <row r="10" spans="1:13" s="2" customFormat="1" ht="38.5" customHeight="1" x14ac:dyDescent="0.2">
      <c r="A10" s="27">
        <v>8</v>
      </c>
      <c r="B10" s="14">
        <v>8</v>
      </c>
      <c r="C10" s="9"/>
      <c r="D10" s="7"/>
      <c r="F10" s="4">
        <v>450</v>
      </c>
      <c r="G10" s="19">
        <v>2</v>
      </c>
      <c r="H10" s="20">
        <v>2</v>
      </c>
      <c r="I10" s="20">
        <v>2</v>
      </c>
      <c r="J10" s="20">
        <v>2</v>
      </c>
      <c r="K10" s="20">
        <v>2</v>
      </c>
      <c r="L10" s="21">
        <v>2</v>
      </c>
      <c r="M10" s="1"/>
    </row>
    <row r="11" spans="1:13" s="2" customFormat="1" ht="38.5" customHeight="1" x14ac:dyDescent="0.2">
      <c r="A11" s="27">
        <v>7</v>
      </c>
      <c r="B11" s="14">
        <v>7</v>
      </c>
      <c r="C11" s="9"/>
      <c r="D11" s="7"/>
      <c r="F11" s="4">
        <v>400</v>
      </c>
      <c r="G11" s="19">
        <v>3</v>
      </c>
      <c r="H11" s="20">
        <v>3</v>
      </c>
      <c r="I11" s="20">
        <v>3</v>
      </c>
      <c r="J11" s="20">
        <v>3</v>
      </c>
      <c r="K11" s="20">
        <v>3</v>
      </c>
      <c r="L11" s="21">
        <v>3</v>
      </c>
      <c r="M11" s="1"/>
    </row>
    <row r="12" spans="1:13" s="2" customFormat="1" ht="38.5" customHeight="1" x14ac:dyDescent="0.2">
      <c r="A12" s="27">
        <v>6</v>
      </c>
      <c r="B12" s="14">
        <v>6</v>
      </c>
      <c r="C12" s="9"/>
      <c r="D12" s="7"/>
      <c r="E12" s="31" t="s">
        <v>26</v>
      </c>
      <c r="F12" s="4">
        <v>350</v>
      </c>
      <c r="G12" s="19">
        <v>4</v>
      </c>
      <c r="H12" s="20">
        <v>4</v>
      </c>
      <c r="I12" s="20">
        <v>4</v>
      </c>
      <c r="J12" s="20">
        <v>4</v>
      </c>
      <c r="K12" s="20">
        <v>4</v>
      </c>
      <c r="L12" s="21">
        <v>4</v>
      </c>
      <c r="M12" s="1"/>
    </row>
    <row r="13" spans="1:13" s="2" customFormat="1" ht="38.5" customHeight="1" x14ac:dyDescent="0.2">
      <c r="A13" s="27">
        <v>5</v>
      </c>
      <c r="B13" s="14">
        <v>5</v>
      </c>
      <c r="C13" s="9"/>
      <c r="D13" s="7"/>
      <c r="E13" s="31"/>
      <c r="F13" s="4">
        <v>300</v>
      </c>
      <c r="G13" s="19">
        <v>5</v>
      </c>
      <c r="H13" s="20">
        <v>5</v>
      </c>
      <c r="I13" s="20">
        <v>5</v>
      </c>
      <c r="J13" s="20">
        <v>5</v>
      </c>
      <c r="K13" s="20">
        <v>5</v>
      </c>
      <c r="L13" s="21">
        <v>5</v>
      </c>
      <c r="M13" s="1"/>
    </row>
    <row r="14" spans="1:13" s="2" customFormat="1" ht="38.5" customHeight="1" x14ac:dyDescent="0.2">
      <c r="A14" s="27">
        <v>4</v>
      </c>
      <c r="B14" s="14">
        <v>4</v>
      </c>
      <c r="C14" s="9"/>
      <c r="D14" s="7"/>
      <c r="F14" s="4">
        <v>250</v>
      </c>
      <c r="G14" s="19">
        <v>6</v>
      </c>
      <c r="H14" s="20">
        <v>6</v>
      </c>
      <c r="I14" s="20">
        <v>6</v>
      </c>
      <c r="J14" s="20">
        <v>6</v>
      </c>
      <c r="K14" s="20">
        <v>6</v>
      </c>
      <c r="L14" s="21">
        <v>6</v>
      </c>
      <c r="M14" s="1"/>
    </row>
    <row r="15" spans="1:13" s="2" customFormat="1" ht="38.5" customHeight="1" x14ac:dyDescent="0.2">
      <c r="A15" s="27">
        <v>3</v>
      </c>
      <c r="B15" s="14">
        <v>3</v>
      </c>
      <c r="C15" s="9"/>
      <c r="D15" s="7"/>
      <c r="F15" s="4">
        <v>200</v>
      </c>
      <c r="G15" s="19">
        <v>7</v>
      </c>
      <c r="H15" s="20">
        <v>7</v>
      </c>
      <c r="I15" s="20">
        <v>7</v>
      </c>
      <c r="J15" s="20">
        <v>7</v>
      </c>
      <c r="K15" s="20">
        <v>7</v>
      </c>
      <c r="L15" s="21">
        <v>6</v>
      </c>
      <c r="M15" s="1"/>
    </row>
    <row r="16" spans="1:13" s="2" customFormat="1" ht="38.5" customHeight="1" x14ac:dyDescent="0.2">
      <c r="A16" s="27">
        <v>2</v>
      </c>
      <c r="B16" s="14">
        <v>2</v>
      </c>
      <c r="C16" s="9"/>
      <c r="D16" s="7"/>
      <c r="F16" s="4">
        <v>150</v>
      </c>
      <c r="G16" s="19">
        <v>8</v>
      </c>
      <c r="H16" s="20">
        <v>8</v>
      </c>
      <c r="I16" s="20">
        <v>8</v>
      </c>
      <c r="J16" s="20">
        <v>8</v>
      </c>
      <c r="K16" s="20">
        <v>7</v>
      </c>
      <c r="L16" s="21">
        <v>6</v>
      </c>
      <c r="M16" s="1"/>
    </row>
    <row r="17" spans="1:13" s="2" customFormat="1" ht="38.5" customHeight="1" x14ac:dyDescent="0.2">
      <c r="A17" s="27" t="s">
        <v>31</v>
      </c>
      <c r="B17" s="14">
        <v>1</v>
      </c>
      <c r="C17" s="10" t="s">
        <v>33</v>
      </c>
      <c r="D17" s="7"/>
      <c r="F17" s="4">
        <v>100</v>
      </c>
      <c r="G17" s="19">
        <v>9</v>
      </c>
      <c r="H17" s="20">
        <v>9</v>
      </c>
      <c r="I17" s="20">
        <v>9</v>
      </c>
      <c r="J17" s="20">
        <v>8</v>
      </c>
      <c r="K17" s="20">
        <v>7</v>
      </c>
      <c r="L17" s="21">
        <v>6</v>
      </c>
      <c r="M17" s="1"/>
    </row>
    <row r="18" spans="1:13" s="2" customFormat="1" ht="38.5" customHeight="1" thickBot="1" x14ac:dyDescent="0.25">
      <c r="A18" s="15" t="s">
        <v>23</v>
      </c>
      <c r="B18" s="15">
        <v>0</v>
      </c>
      <c r="C18" s="1"/>
      <c r="F18" s="5" t="s">
        <v>35</v>
      </c>
      <c r="G18" s="22" t="s">
        <v>30</v>
      </c>
      <c r="H18" s="23" t="s">
        <v>30</v>
      </c>
      <c r="I18" s="23">
        <v>9</v>
      </c>
      <c r="J18" s="23">
        <v>8</v>
      </c>
      <c r="K18" s="23">
        <v>7</v>
      </c>
      <c r="L18" s="24">
        <v>6</v>
      </c>
      <c r="M18" s="1"/>
    </row>
    <row r="19" spans="1:13" s="2" customFormat="1" ht="38.5" customHeight="1" x14ac:dyDescent="0.55000000000000004">
      <c r="G19" s="6" t="s">
        <v>34</v>
      </c>
      <c r="H19" s="3">
        <v>15</v>
      </c>
      <c r="I19" s="3">
        <v>20</v>
      </c>
      <c r="J19" s="3">
        <v>25</v>
      </c>
      <c r="K19" s="3">
        <v>30</v>
      </c>
      <c r="L19" s="3">
        <v>35</v>
      </c>
      <c r="M19" s="3">
        <v>40</v>
      </c>
    </row>
    <row r="20" spans="1:13" x14ac:dyDescent="0.55000000000000004">
      <c r="J20" s="1" t="s">
        <v>0</v>
      </c>
    </row>
  </sheetData>
  <mergeCells count="3">
    <mergeCell ref="G7:L7"/>
    <mergeCell ref="E12:E13"/>
    <mergeCell ref="A5:L5"/>
  </mergeCells>
  <phoneticPr fontId="1"/>
  <conditionalFormatting sqref="G9:L18">
    <cfRule type="cellIs" dxfId="19" priority="1" operator="equal">
      <formula>$A$17</formula>
    </cfRule>
    <cfRule type="cellIs" dxfId="18" priority="2" operator="equal">
      <formula>$A$16</formula>
    </cfRule>
    <cfRule type="cellIs" dxfId="17" priority="3" operator="equal">
      <formula>$A$15</formula>
    </cfRule>
    <cfRule type="cellIs" dxfId="16" priority="4" operator="equal">
      <formula>$A$14</formula>
    </cfRule>
    <cfRule type="cellIs" dxfId="15" priority="5" operator="equal">
      <formula>$A$13</formula>
    </cfRule>
    <cfRule type="cellIs" dxfId="14" priority="6" operator="equal">
      <formula>$A$12</formula>
    </cfRule>
    <cfRule type="cellIs" dxfId="13" priority="7" operator="equal">
      <formula>$A$11</formula>
    </cfRule>
    <cfRule type="cellIs" dxfId="12" priority="8" operator="equal">
      <formula>$A$10</formula>
    </cfRule>
    <cfRule type="cellIs" dxfId="11" priority="9" operator="equal">
      <formula>$A$9</formula>
    </cfRule>
    <cfRule type="cellIs" dxfId="10" priority="10" operator="equal">
      <formula>$A$8</formula>
    </cfRule>
  </conditionalFormatting>
  <dataValidations count="1">
    <dataValidation type="list" allowBlank="1" showInputMessage="1" showErrorMessage="1" sqref="G9:L18" xr:uid="{94FEA027-B265-498F-9E50-2016CDCB5349}">
      <formula1>$A$8:$A$17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84A9-C190-4CA6-B111-EE91A94172B3}">
  <dimension ref="A1:M20"/>
  <sheetViews>
    <sheetView topLeftCell="A2" zoomScale="70" zoomScaleNormal="70" workbookViewId="0">
      <selection activeCell="F19" sqref="F19"/>
    </sheetView>
  </sheetViews>
  <sheetFormatPr defaultRowHeight="13" x14ac:dyDescent="0.55000000000000004"/>
  <cols>
    <col min="1" max="1" width="14" style="1" customWidth="1"/>
    <col min="2" max="2" width="8.75" style="1" customWidth="1"/>
    <col min="3" max="3" width="18.4140625" style="1" customWidth="1"/>
    <col min="4" max="4" width="8.4140625" style="1" customWidth="1"/>
    <col min="5" max="5" width="14.83203125" style="1" customWidth="1"/>
    <col min="6" max="6" width="11.1640625" style="1" customWidth="1"/>
    <col min="7" max="12" width="11.75" style="1" customWidth="1"/>
    <col min="13" max="16384" width="8.6640625" style="1"/>
  </cols>
  <sheetData>
    <row r="1" spans="1:13" s="12" customFormat="1" ht="27" customHeight="1" x14ac:dyDescent="0.55000000000000004">
      <c r="A1" s="12" t="s">
        <v>28</v>
      </c>
    </row>
    <row r="2" spans="1:13" ht="16.5" customHeight="1" x14ac:dyDescent="0.55000000000000004"/>
    <row r="3" spans="1:13" ht="16.5" customHeight="1" x14ac:dyDescent="0.55000000000000004">
      <c r="A3" s="1" t="s">
        <v>9</v>
      </c>
    </row>
    <row r="4" spans="1:13" ht="16.5" customHeight="1" x14ac:dyDescent="0.55000000000000004">
      <c r="A4" s="1" t="s">
        <v>18</v>
      </c>
    </row>
    <row r="5" spans="1:13" ht="19" customHeight="1" x14ac:dyDescent="0.55000000000000004">
      <c r="A5" s="1" t="s">
        <v>17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ht="16.5" customHeight="1" x14ac:dyDescent="0.55000000000000004"/>
    <row r="7" spans="1:13" ht="16.5" customHeight="1" x14ac:dyDescent="0.55000000000000004">
      <c r="A7" s="11" t="s">
        <v>8</v>
      </c>
      <c r="B7" s="11" t="s">
        <v>12</v>
      </c>
      <c r="C7" s="11" t="s">
        <v>15</v>
      </c>
      <c r="G7" s="29" t="s">
        <v>16</v>
      </c>
      <c r="H7" s="30"/>
      <c r="I7" s="30"/>
      <c r="J7" s="30"/>
      <c r="K7" s="30"/>
      <c r="L7" s="30"/>
    </row>
    <row r="8" spans="1:13" s="2" customFormat="1" ht="38.5" customHeight="1" thickBot="1" x14ac:dyDescent="0.25">
      <c r="A8" s="27" t="s">
        <v>1</v>
      </c>
      <c r="B8" s="14">
        <v>10</v>
      </c>
      <c r="C8" s="8" t="s">
        <v>13</v>
      </c>
      <c r="D8" s="7"/>
      <c r="F8" s="4">
        <v>550</v>
      </c>
      <c r="G8" s="1"/>
      <c r="H8" s="1"/>
      <c r="I8" s="1"/>
      <c r="J8" s="1"/>
      <c r="K8" s="1"/>
      <c r="L8" s="1"/>
      <c r="M8" s="1"/>
    </row>
    <row r="9" spans="1:13" s="2" customFormat="1" ht="38.5" customHeight="1" x14ac:dyDescent="0.2">
      <c r="A9" s="27" t="s">
        <v>2</v>
      </c>
      <c r="B9" s="14">
        <v>9</v>
      </c>
      <c r="C9" s="9"/>
      <c r="D9" s="7"/>
      <c r="F9" s="4">
        <v>500</v>
      </c>
      <c r="G9" s="16" t="s">
        <v>4</v>
      </c>
      <c r="H9" s="17" t="s">
        <v>4</v>
      </c>
      <c r="I9" s="17" t="s">
        <v>4</v>
      </c>
      <c r="J9" s="17" t="s">
        <v>7</v>
      </c>
      <c r="K9" s="17" t="s">
        <v>7</v>
      </c>
      <c r="L9" s="18" t="s">
        <v>7</v>
      </c>
      <c r="M9" s="1"/>
    </row>
    <row r="10" spans="1:13" s="2" customFormat="1" ht="38.5" customHeight="1" x14ac:dyDescent="0.2">
      <c r="A10" s="27" t="s">
        <v>3</v>
      </c>
      <c r="B10" s="14">
        <v>8</v>
      </c>
      <c r="C10" s="9"/>
      <c r="D10" s="7"/>
      <c r="F10" s="4">
        <v>450</v>
      </c>
      <c r="G10" s="19" t="s">
        <v>4</v>
      </c>
      <c r="H10" s="20" t="s">
        <v>4</v>
      </c>
      <c r="I10" s="19" t="s">
        <v>4</v>
      </c>
      <c r="J10" s="20" t="s">
        <v>7</v>
      </c>
      <c r="K10" s="20" t="s">
        <v>7</v>
      </c>
      <c r="L10" s="21" t="s">
        <v>7</v>
      </c>
      <c r="M10" s="1"/>
    </row>
    <row r="11" spans="1:13" s="2" customFormat="1" ht="38.5" customHeight="1" x14ac:dyDescent="0.2">
      <c r="A11" s="27" t="s">
        <v>4</v>
      </c>
      <c r="B11" s="14">
        <v>7</v>
      </c>
      <c r="C11" s="9"/>
      <c r="D11" s="7"/>
      <c r="F11" s="4">
        <v>400</v>
      </c>
      <c r="G11" s="19" t="s">
        <v>4</v>
      </c>
      <c r="H11" s="20" t="s">
        <v>4</v>
      </c>
      <c r="I11" s="19" t="s">
        <v>4</v>
      </c>
      <c r="J11" s="20" t="s">
        <v>7</v>
      </c>
      <c r="K11" s="20" t="s">
        <v>7</v>
      </c>
      <c r="L11" s="21" t="s">
        <v>7</v>
      </c>
      <c r="M11" s="1"/>
    </row>
    <row r="12" spans="1:13" s="2" customFormat="1" ht="38.5" customHeight="1" x14ac:dyDescent="0.2">
      <c r="A12" s="27" t="s">
        <v>5</v>
      </c>
      <c r="B12" s="14">
        <v>6</v>
      </c>
      <c r="C12" s="9"/>
      <c r="D12" s="7"/>
      <c r="E12" s="31" t="s">
        <v>26</v>
      </c>
      <c r="F12" s="4">
        <v>350</v>
      </c>
      <c r="G12" s="19" t="s">
        <v>4</v>
      </c>
      <c r="H12" s="20" t="s">
        <v>4</v>
      </c>
      <c r="I12" s="20" t="s">
        <v>4</v>
      </c>
      <c r="J12" s="20" t="s">
        <v>11</v>
      </c>
      <c r="K12" s="20" t="s">
        <v>7</v>
      </c>
      <c r="L12" s="21" t="s">
        <v>7</v>
      </c>
      <c r="M12" s="1"/>
    </row>
    <row r="13" spans="1:13" s="2" customFormat="1" ht="38.5" customHeight="1" x14ac:dyDescent="0.2">
      <c r="A13" s="27" t="s">
        <v>11</v>
      </c>
      <c r="B13" s="14">
        <v>5</v>
      </c>
      <c r="C13" s="9"/>
      <c r="D13" s="7"/>
      <c r="E13" s="31"/>
      <c r="F13" s="4">
        <v>300</v>
      </c>
      <c r="G13" s="19" t="s">
        <v>4</v>
      </c>
      <c r="H13" s="20" t="s">
        <v>4</v>
      </c>
      <c r="I13" s="20" t="s">
        <v>4</v>
      </c>
      <c r="J13" s="20" t="s">
        <v>11</v>
      </c>
      <c r="K13" s="20" t="s">
        <v>7</v>
      </c>
      <c r="L13" s="21" t="s">
        <v>7</v>
      </c>
      <c r="M13" s="1"/>
    </row>
    <row r="14" spans="1:13" s="2" customFormat="1" ht="38.5" customHeight="1" x14ac:dyDescent="0.2">
      <c r="A14" s="27" t="s">
        <v>6</v>
      </c>
      <c r="B14" s="14">
        <v>4</v>
      </c>
      <c r="C14" s="9"/>
      <c r="D14" s="7"/>
      <c r="F14" s="4">
        <v>250</v>
      </c>
      <c r="G14" s="19" t="s">
        <v>1</v>
      </c>
      <c r="H14" s="20" t="s">
        <v>3</v>
      </c>
      <c r="I14" s="20" t="s">
        <v>4</v>
      </c>
      <c r="J14" s="20" t="s">
        <v>11</v>
      </c>
      <c r="K14" s="20" t="s">
        <v>10</v>
      </c>
      <c r="L14" s="21" t="s">
        <v>7</v>
      </c>
      <c r="M14" s="1"/>
    </row>
    <row r="15" spans="1:13" s="2" customFormat="1" ht="38.5" customHeight="1" x14ac:dyDescent="0.2">
      <c r="A15" s="27" t="s">
        <v>10</v>
      </c>
      <c r="B15" s="14">
        <v>3</v>
      </c>
      <c r="C15" s="9"/>
      <c r="D15" s="7"/>
      <c r="F15" s="4">
        <v>200</v>
      </c>
      <c r="G15" s="19" t="s">
        <v>1</v>
      </c>
      <c r="H15" s="20" t="s">
        <v>3</v>
      </c>
      <c r="I15" s="20" t="s">
        <v>4</v>
      </c>
      <c r="J15" s="20" t="s">
        <v>11</v>
      </c>
      <c r="K15" s="20" t="s">
        <v>10</v>
      </c>
      <c r="L15" s="21" t="s">
        <v>7</v>
      </c>
      <c r="M15" s="1"/>
    </row>
    <row r="16" spans="1:13" s="2" customFormat="1" ht="38.5" customHeight="1" x14ac:dyDescent="0.2">
      <c r="A16" s="27" t="s">
        <v>7</v>
      </c>
      <c r="B16" s="14">
        <v>2</v>
      </c>
      <c r="C16" s="9"/>
      <c r="D16" s="7"/>
      <c r="F16" s="4">
        <v>150</v>
      </c>
      <c r="G16" s="19" t="s">
        <v>1</v>
      </c>
      <c r="H16" s="20" t="s">
        <v>2</v>
      </c>
      <c r="I16" s="20" t="s">
        <v>3</v>
      </c>
      <c r="J16" s="20" t="s">
        <v>5</v>
      </c>
      <c r="K16" s="20" t="s">
        <v>6</v>
      </c>
      <c r="L16" s="21" t="s">
        <v>7</v>
      </c>
      <c r="M16" s="1"/>
    </row>
    <row r="17" spans="1:13" s="2" customFormat="1" ht="38.5" customHeight="1" x14ac:dyDescent="0.2">
      <c r="A17" s="27" t="s">
        <v>29</v>
      </c>
      <c r="B17" s="14">
        <v>1</v>
      </c>
      <c r="C17" s="10" t="s">
        <v>14</v>
      </c>
      <c r="D17" s="7"/>
      <c r="F17" s="4">
        <v>100</v>
      </c>
      <c r="G17" s="19" t="s">
        <v>1</v>
      </c>
      <c r="H17" s="20" t="s">
        <v>2</v>
      </c>
      <c r="I17" s="20" t="s">
        <v>3</v>
      </c>
      <c r="J17" s="20" t="s">
        <v>5</v>
      </c>
      <c r="K17" s="20" t="s">
        <v>6</v>
      </c>
      <c r="L17" s="21" t="s">
        <v>7</v>
      </c>
      <c r="M17" s="1"/>
    </row>
    <row r="18" spans="1:13" s="2" customFormat="1" ht="38.5" customHeight="1" thickBot="1" x14ac:dyDescent="0.25">
      <c r="A18" s="15" t="s">
        <v>23</v>
      </c>
      <c r="B18" s="15">
        <v>0</v>
      </c>
      <c r="C18" s="1"/>
      <c r="F18" s="5" t="s">
        <v>35</v>
      </c>
      <c r="G18" s="22" t="s">
        <v>1</v>
      </c>
      <c r="H18" s="23" t="s">
        <v>2</v>
      </c>
      <c r="I18" s="23" t="s">
        <v>2</v>
      </c>
      <c r="J18" s="23" t="s">
        <v>5</v>
      </c>
      <c r="K18" s="23" t="s">
        <v>6</v>
      </c>
      <c r="L18" s="24" t="s">
        <v>7</v>
      </c>
      <c r="M18" s="1"/>
    </row>
    <row r="19" spans="1:13" s="2" customFormat="1" ht="38.5" customHeight="1" x14ac:dyDescent="0.55000000000000004">
      <c r="G19" s="6" t="s">
        <v>34</v>
      </c>
      <c r="H19" s="3">
        <v>15</v>
      </c>
      <c r="I19" s="3">
        <v>20</v>
      </c>
      <c r="J19" s="3">
        <v>25</v>
      </c>
      <c r="K19" s="3">
        <v>30</v>
      </c>
      <c r="L19" s="3">
        <v>35</v>
      </c>
      <c r="M19" s="3">
        <v>40</v>
      </c>
    </row>
    <row r="20" spans="1:13" x14ac:dyDescent="0.55000000000000004">
      <c r="J20" s="1" t="s">
        <v>0</v>
      </c>
    </row>
  </sheetData>
  <mergeCells count="2">
    <mergeCell ref="G7:L7"/>
    <mergeCell ref="E12:E13"/>
  </mergeCells>
  <phoneticPr fontId="1"/>
  <conditionalFormatting sqref="G9:L18">
    <cfRule type="cellIs" dxfId="9" priority="1" operator="equal">
      <formula>$A$17</formula>
    </cfRule>
    <cfRule type="cellIs" dxfId="8" priority="2" operator="equal">
      <formula>$A$16</formula>
    </cfRule>
    <cfRule type="cellIs" dxfId="7" priority="3" operator="equal">
      <formula>$A$15</formula>
    </cfRule>
    <cfRule type="cellIs" dxfId="6" priority="4" operator="equal">
      <formula>$A$14</formula>
    </cfRule>
    <cfRule type="cellIs" dxfId="5" priority="5" operator="equal">
      <formula>$A$13</formula>
    </cfRule>
    <cfRule type="cellIs" dxfId="4" priority="6" operator="equal">
      <formula>$A$12</formula>
    </cfRule>
    <cfRule type="cellIs" dxfId="3" priority="7" operator="equal">
      <formula>$A$11</formula>
    </cfRule>
    <cfRule type="cellIs" dxfId="2" priority="8" operator="equal">
      <formula>$A$10</formula>
    </cfRule>
    <cfRule type="cellIs" dxfId="1" priority="9" operator="equal">
      <formula>$A$9</formula>
    </cfRule>
    <cfRule type="cellIs" dxfId="0" priority="10" operator="equal">
      <formula>$A$8</formula>
    </cfRule>
  </conditionalFormatting>
  <dataValidations count="1">
    <dataValidation type="list" allowBlank="1" showInputMessage="1" showErrorMessage="1" sqref="G9:L18" xr:uid="{87ABF066-2FA6-43BD-B8FB-73CE4956DE40}">
      <formula1>$A$8:$A$17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052E-0E41-4374-AC56-A4CA72100969}">
  <dimension ref="A1:H26"/>
  <sheetViews>
    <sheetView workbookViewId="0">
      <selection activeCell="A11" sqref="A11"/>
    </sheetView>
  </sheetViews>
  <sheetFormatPr defaultRowHeight="18" x14ac:dyDescent="0.55000000000000004"/>
  <sheetData>
    <row r="1" spans="1:8" x14ac:dyDescent="0.2">
      <c r="A1" s="25">
        <v>550</v>
      </c>
      <c r="B1" s="33">
        <v>0</v>
      </c>
      <c r="C1" s="26">
        <v>15</v>
      </c>
      <c r="D1" s="26">
        <v>20</v>
      </c>
      <c r="E1" s="26">
        <v>25</v>
      </c>
      <c r="F1" s="26">
        <v>30</v>
      </c>
      <c r="G1" s="26">
        <v>35</v>
      </c>
      <c r="H1" s="26">
        <v>40</v>
      </c>
    </row>
    <row r="2" spans="1:8" x14ac:dyDescent="0.2">
      <c r="A2" s="25">
        <v>500</v>
      </c>
      <c r="B2" s="13">
        <f>IFERROR(VLOOKUP(入力!G9,入力!$A$8:$C$17,2,FALSE),0)</f>
        <v>1</v>
      </c>
      <c r="C2" s="13">
        <f>IFERROR(VLOOKUP(入力!H9,入力!$A$8:$C$17,2,FALSE),0)</f>
        <v>1</v>
      </c>
      <c r="D2" s="13">
        <f>IFERROR(VLOOKUP(入力!I9,入力!$A$8:$C$17,2,FALSE),0)</f>
        <v>1</v>
      </c>
      <c r="E2" s="13">
        <f>IFERROR(VLOOKUP(入力!J9,入力!$A$8:$C$17,2,FALSE),0)</f>
        <v>1</v>
      </c>
      <c r="F2" s="13">
        <f>IFERROR(VLOOKUP(入力!K9,入力!$A$8:$C$17,2,FALSE),0)</f>
        <v>1</v>
      </c>
      <c r="G2" s="13">
        <f>IFERROR(VLOOKUP(入力!L9,入力!$A$8:$C$17,2,FALSE),0)</f>
        <v>1</v>
      </c>
    </row>
    <row r="3" spans="1:8" x14ac:dyDescent="0.2">
      <c r="A3" s="25">
        <v>450</v>
      </c>
      <c r="B3" s="13">
        <f>IFERROR(VLOOKUP(入力!G10,入力!$A$8:$C$17,2,FALSE),0)</f>
        <v>2</v>
      </c>
      <c r="C3" s="13">
        <f>IFERROR(VLOOKUP(入力!H10,入力!$A$8:$C$17,2,FALSE),0)</f>
        <v>2</v>
      </c>
      <c r="D3" s="13">
        <f>IFERROR(VLOOKUP(入力!I10,入力!$A$8:$C$17,2,FALSE),0)</f>
        <v>2</v>
      </c>
      <c r="E3" s="13">
        <f>IFERROR(VLOOKUP(入力!J10,入力!$A$8:$C$17,2,FALSE),0)</f>
        <v>2</v>
      </c>
      <c r="F3" s="13">
        <f>IFERROR(VLOOKUP(入力!K10,入力!$A$8:$C$17,2,FALSE),0)</f>
        <v>2</v>
      </c>
      <c r="G3" s="13">
        <f>IFERROR(VLOOKUP(入力!L10,入力!$A$8:$C$17,2,FALSE),0)</f>
        <v>2</v>
      </c>
    </row>
    <row r="4" spans="1:8" x14ac:dyDescent="0.2">
      <c r="A4" s="25">
        <v>400</v>
      </c>
      <c r="B4" s="13">
        <f>IFERROR(VLOOKUP(入力!G11,入力!$A$8:$C$17,2,FALSE),0)</f>
        <v>3</v>
      </c>
      <c r="C4" s="13">
        <f>IFERROR(VLOOKUP(入力!H11,入力!$A$8:$C$17,2,FALSE),0)</f>
        <v>3</v>
      </c>
      <c r="D4" s="13">
        <f>IFERROR(VLOOKUP(入力!I11,入力!$A$8:$C$17,2,FALSE),0)</f>
        <v>3</v>
      </c>
      <c r="E4" s="13">
        <f>IFERROR(VLOOKUP(入力!J11,入力!$A$8:$C$17,2,FALSE),0)</f>
        <v>3</v>
      </c>
      <c r="F4" s="13">
        <f>IFERROR(VLOOKUP(入力!K11,入力!$A$8:$C$17,2,FALSE),0)</f>
        <v>3</v>
      </c>
      <c r="G4" s="13">
        <f>IFERROR(VLOOKUP(入力!L11,入力!$A$8:$C$17,2,FALSE),0)</f>
        <v>3</v>
      </c>
    </row>
    <row r="5" spans="1:8" x14ac:dyDescent="0.2">
      <c r="A5" s="25">
        <v>350</v>
      </c>
      <c r="B5" s="13">
        <f>IFERROR(VLOOKUP(入力!G12,入力!$A$8:$C$17,2,FALSE),0)</f>
        <v>4</v>
      </c>
      <c r="C5" s="13">
        <f>IFERROR(VLOOKUP(入力!H12,入力!$A$8:$C$17,2,FALSE),0)</f>
        <v>4</v>
      </c>
      <c r="D5" s="13">
        <f>IFERROR(VLOOKUP(入力!I12,入力!$A$8:$C$17,2,FALSE),0)</f>
        <v>4</v>
      </c>
      <c r="E5" s="13">
        <f>IFERROR(VLOOKUP(入力!J12,入力!$A$8:$C$17,2,FALSE),0)</f>
        <v>4</v>
      </c>
      <c r="F5" s="13">
        <f>IFERROR(VLOOKUP(入力!K12,入力!$A$8:$C$17,2,FALSE),0)</f>
        <v>4</v>
      </c>
      <c r="G5" s="13">
        <f>IFERROR(VLOOKUP(入力!L12,入力!$A$8:$C$17,2,FALSE),0)</f>
        <v>4</v>
      </c>
    </row>
    <row r="6" spans="1:8" x14ac:dyDescent="0.2">
      <c r="A6" s="25">
        <v>300</v>
      </c>
      <c r="B6" s="13">
        <f>IFERROR(VLOOKUP(入力!G13,入力!$A$8:$C$17,2,FALSE),0)</f>
        <v>5</v>
      </c>
      <c r="C6" s="13">
        <f>IFERROR(VLOOKUP(入力!H13,入力!$A$8:$C$17,2,FALSE),0)</f>
        <v>5</v>
      </c>
      <c r="D6" s="13">
        <f>IFERROR(VLOOKUP(入力!I13,入力!$A$8:$C$17,2,FALSE),0)</f>
        <v>5</v>
      </c>
      <c r="E6" s="13">
        <f>IFERROR(VLOOKUP(入力!J13,入力!$A$8:$C$17,2,FALSE),0)</f>
        <v>5</v>
      </c>
      <c r="F6" s="13">
        <f>IFERROR(VLOOKUP(入力!K13,入力!$A$8:$C$17,2,FALSE),0)</f>
        <v>5</v>
      </c>
      <c r="G6" s="13">
        <f>IFERROR(VLOOKUP(入力!L13,入力!$A$8:$C$17,2,FALSE),0)</f>
        <v>5</v>
      </c>
    </row>
    <row r="7" spans="1:8" x14ac:dyDescent="0.2">
      <c r="A7" s="25">
        <v>250</v>
      </c>
      <c r="B7" s="13">
        <f>IFERROR(VLOOKUP(入力!G14,入力!$A$8:$C$17,2,FALSE),0)</f>
        <v>6</v>
      </c>
      <c r="C7" s="13">
        <f>IFERROR(VLOOKUP(入力!H14,入力!$A$8:$C$17,2,FALSE),0)</f>
        <v>6</v>
      </c>
      <c r="D7" s="13">
        <f>IFERROR(VLOOKUP(入力!I14,入力!$A$8:$C$17,2,FALSE),0)</f>
        <v>6</v>
      </c>
      <c r="E7" s="13">
        <f>IFERROR(VLOOKUP(入力!J14,入力!$A$8:$C$17,2,FALSE),0)</f>
        <v>6</v>
      </c>
      <c r="F7" s="13">
        <f>IFERROR(VLOOKUP(入力!K14,入力!$A$8:$C$17,2,FALSE),0)</f>
        <v>6</v>
      </c>
      <c r="G7" s="13">
        <f>IFERROR(VLOOKUP(入力!L14,入力!$A$8:$C$17,2,FALSE),0)</f>
        <v>6</v>
      </c>
    </row>
    <row r="8" spans="1:8" x14ac:dyDescent="0.2">
      <c r="A8" s="25">
        <v>200</v>
      </c>
      <c r="B8" s="13">
        <f>IFERROR(VLOOKUP(入力!G15,入力!$A$8:$C$17,2,FALSE),0)</f>
        <v>7</v>
      </c>
      <c r="C8" s="13">
        <f>IFERROR(VLOOKUP(入力!H15,入力!$A$8:$C$17,2,FALSE),0)</f>
        <v>7</v>
      </c>
      <c r="D8" s="13">
        <f>IFERROR(VLOOKUP(入力!I15,入力!$A$8:$C$17,2,FALSE),0)</f>
        <v>7</v>
      </c>
      <c r="E8" s="13">
        <f>IFERROR(VLOOKUP(入力!J15,入力!$A$8:$C$17,2,FALSE),0)</f>
        <v>7</v>
      </c>
      <c r="F8" s="13">
        <f>IFERROR(VLOOKUP(入力!K15,入力!$A$8:$C$17,2,FALSE),0)</f>
        <v>7</v>
      </c>
      <c r="G8" s="13">
        <f>IFERROR(VLOOKUP(入力!L15,入力!$A$8:$C$17,2,FALSE),0)</f>
        <v>6</v>
      </c>
    </row>
    <row r="9" spans="1:8" x14ac:dyDescent="0.2">
      <c r="A9" s="25">
        <v>150</v>
      </c>
      <c r="B9" s="13">
        <f>IFERROR(VLOOKUP(入力!G16,入力!$A$8:$C$17,2,FALSE),0)</f>
        <v>8</v>
      </c>
      <c r="C9" s="13">
        <f>IFERROR(VLOOKUP(入力!H16,入力!$A$8:$C$17,2,FALSE),0)</f>
        <v>8</v>
      </c>
      <c r="D9" s="13">
        <f>IFERROR(VLOOKUP(入力!I16,入力!$A$8:$C$17,2,FALSE),0)</f>
        <v>8</v>
      </c>
      <c r="E9" s="13">
        <f>IFERROR(VLOOKUP(入力!J16,入力!$A$8:$C$17,2,FALSE),0)</f>
        <v>8</v>
      </c>
      <c r="F9" s="13">
        <f>IFERROR(VLOOKUP(入力!K16,入力!$A$8:$C$17,2,FALSE),0)</f>
        <v>7</v>
      </c>
      <c r="G9" s="13">
        <f>IFERROR(VLOOKUP(入力!L16,入力!$A$8:$C$17,2,FALSE),0)</f>
        <v>6</v>
      </c>
    </row>
    <row r="10" spans="1:8" x14ac:dyDescent="0.2">
      <c r="A10" s="25">
        <v>100</v>
      </c>
      <c r="B10" s="13">
        <f>IFERROR(VLOOKUP(入力!G17,入力!$A$8:$C$17,2,FALSE),0)</f>
        <v>9</v>
      </c>
      <c r="C10" s="13">
        <f>IFERROR(VLOOKUP(入力!H17,入力!$A$8:$C$17,2,FALSE),0)</f>
        <v>9</v>
      </c>
      <c r="D10" s="13">
        <f>IFERROR(VLOOKUP(入力!I17,入力!$A$8:$C$17,2,FALSE),0)</f>
        <v>9</v>
      </c>
      <c r="E10" s="13">
        <f>IFERROR(VLOOKUP(入力!J17,入力!$A$8:$C$17,2,FALSE),0)</f>
        <v>8</v>
      </c>
      <c r="F10" s="13">
        <f>IFERROR(VLOOKUP(入力!K17,入力!$A$8:$C$17,2,FALSE),0)</f>
        <v>7</v>
      </c>
      <c r="G10" s="13">
        <f>IFERROR(VLOOKUP(入力!L17,入力!$A$8:$C$17,2,FALSE),0)</f>
        <v>6</v>
      </c>
    </row>
    <row r="11" spans="1:8" x14ac:dyDescent="0.2">
      <c r="A11" s="34">
        <v>0</v>
      </c>
      <c r="B11" s="13">
        <f>IFERROR(VLOOKUP(入力!G18,入力!$A$8:$C$17,2,FALSE),0)</f>
        <v>10</v>
      </c>
      <c r="C11" s="13">
        <f>IFERROR(VLOOKUP(入力!H18,入力!$A$8:$C$17,2,FALSE),0)</f>
        <v>10</v>
      </c>
      <c r="D11" s="13">
        <f>IFERROR(VLOOKUP(入力!I18,入力!$A$8:$C$17,2,FALSE),0)</f>
        <v>9</v>
      </c>
      <c r="E11" s="13">
        <f>IFERROR(VLOOKUP(入力!J18,入力!$A$8:$C$17,2,FALSE),0)</f>
        <v>8</v>
      </c>
      <c r="F11" s="13">
        <f>IFERROR(VLOOKUP(入力!K18,入力!$A$8:$C$17,2,FALSE),0)</f>
        <v>7</v>
      </c>
      <c r="G11" s="13">
        <f>IFERROR(VLOOKUP(入力!L18,入力!$A$8:$C$17,2,FALSE),0)</f>
        <v>6</v>
      </c>
    </row>
    <row r="15" spans="1:8" x14ac:dyDescent="0.55000000000000004">
      <c r="A15" t="s">
        <v>20</v>
      </c>
      <c r="B15" t="s">
        <v>21</v>
      </c>
    </row>
    <row r="16" spans="1:8" x14ac:dyDescent="0.55000000000000004">
      <c r="A16">
        <v>10</v>
      </c>
      <c r="B16" s="13" t="str">
        <f>入力!A8</f>
        <v>10：集材作業効率高い</v>
      </c>
    </row>
    <row r="17" spans="1:2" x14ac:dyDescent="0.55000000000000004">
      <c r="A17">
        <v>9</v>
      </c>
      <c r="B17" s="13">
        <f>入力!A9</f>
        <v>9</v>
      </c>
    </row>
    <row r="18" spans="1:2" x14ac:dyDescent="0.55000000000000004">
      <c r="A18">
        <v>8</v>
      </c>
      <c r="B18" s="13">
        <f>入力!A10</f>
        <v>8</v>
      </c>
    </row>
    <row r="19" spans="1:2" x14ac:dyDescent="0.55000000000000004">
      <c r="A19">
        <v>7</v>
      </c>
      <c r="B19" s="13">
        <f>入力!A11</f>
        <v>7</v>
      </c>
    </row>
    <row r="20" spans="1:2" x14ac:dyDescent="0.55000000000000004">
      <c r="A20">
        <v>6</v>
      </c>
      <c r="B20" s="13">
        <f>入力!A12</f>
        <v>6</v>
      </c>
    </row>
    <row r="21" spans="1:2" x14ac:dyDescent="0.55000000000000004">
      <c r="A21">
        <v>5</v>
      </c>
      <c r="B21" s="13">
        <f>入力!A13</f>
        <v>5</v>
      </c>
    </row>
    <row r="22" spans="1:2" x14ac:dyDescent="0.55000000000000004">
      <c r="A22">
        <v>4</v>
      </c>
      <c r="B22" s="13">
        <f>入力!A14</f>
        <v>4</v>
      </c>
    </row>
    <row r="23" spans="1:2" x14ac:dyDescent="0.55000000000000004">
      <c r="A23">
        <v>3</v>
      </c>
      <c r="B23" s="13">
        <f>入力!A15</f>
        <v>3</v>
      </c>
    </row>
    <row r="24" spans="1:2" x14ac:dyDescent="0.55000000000000004">
      <c r="A24">
        <v>2</v>
      </c>
      <c r="B24" s="13">
        <f>入力!A16</f>
        <v>2</v>
      </c>
    </row>
    <row r="25" spans="1:2" x14ac:dyDescent="0.55000000000000004">
      <c r="A25">
        <v>1</v>
      </c>
      <c r="B25" s="13" t="str">
        <f>入力!A17</f>
        <v>１：集材作業効率低い</v>
      </c>
    </row>
    <row r="26" spans="1:2" x14ac:dyDescent="0.55000000000000004">
      <c r="A26">
        <v>0</v>
      </c>
      <c r="B26" t="s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入力</vt:lpstr>
      <vt:lpstr>入力例</vt:lpstr>
      <vt:lpstr>CSVで出力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naoka_ogaya</dc:creator>
  <cp:lastModifiedBy>naoka_ogaya</cp:lastModifiedBy>
  <dcterms:created xsi:type="dcterms:W3CDTF">2021-06-18T08:56:38Z</dcterms:created>
  <dcterms:modified xsi:type="dcterms:W3CDTF">2022-01-13T12:22:21Z</dcterms:modified>
</cp:coreProperties>
</file>