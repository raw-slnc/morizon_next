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入力" sheetId="1" state="visible" r:id="rId3"/>
    <sheet name="入力例" sheetId="2" state="visible" r:id="rId4"/>
    <sheet name="CSVで出力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<sst xmlns="http://schemas.openxmlformats.org/spreadsheetml/2006/main" count="112" uniqueCount="36">
  <si>
    <t xml:space="preserve">要素「集材作業効率」の点数設定</t>
  </si>
  <si>
    <t xml:space="preserve">一般に地形（傾斜と起伏量の組合せ）が厳しいと架線系の作業システムとなり集材コストが上がり（集材作業効率が低い）、収益性が低くなるという傾向があります。</t>
  </si>
  <si>
    <t xml:space="preserve">要素「集材作業効率」では、地形に基づいた集材作業効率が収益性を示すと考えます。</t>
  </si>
  <si>
    <t xml:space="preserve">①作業システム　ピンクの欄に入力した区分を➁の傾斜と起伏量の組合せに合わせて選択してください。
最後に「CSVで出力」シートを開き、ファイル→名前を付けて保存→「SAGYO-SYSTEM_CSV」フォルダにCSV形式を選んで保存してください。
ファイル名は半角英数としてください。</t>
  </si>
  <si>
    <t xml:space="preserve">①作業システム</t>
  </si>
  <si>
    <t xml:space="preserve">コード</t>
  </si>
  <si>
    <t xml:space="preserve">意味</t>
  </si>
  <si>
    <t xml:space="preserve">②傾斜と起伏量による作業システムの対応</t>
  </si>
  <si>
    <t xml:space="preserve">10：集材作業効率高い</t>
  </si>
  <si>
    <t xml:space="preserve">集材作業効率が高い
集材コストが低い</t>
  </si>
  <si>
    <t xml:space="preserve">１：集材作業効率低い</t>
  </si>
  <si>
    <r>
      <rPr>
        <sz val="11"/>
        <color theme="1"/>
        <rFont val="BIZ UDPゴシック"/>
        <family val="3"/>
        <charset val="128"/>
      </rPr>
      <t xml:space="preserve">起伏量（m）
</t>
    </r>
    <r>
      <rPr>
        <sz val="10"/>
        <color theme="1"/>
        <rFont val="BIZ UDPゴシック"/>
        <family val="3"/>
        <charset val="128"/>
      </rPr>
      <t xml:space="preserve">500×500m範囲内の最大標高と最小標高の差</t>
    </r>
  </si>
  <si>
    <t xml:space="preserve">集材作業効率が低い
集材コストが高い</t>
  </si>
  <si>
    <t xml:space="preserve">右図②で空白の範囲は0となります。</t>
  </si>
  <si>
    <t xml:space="preserve">（0以上
100未満）
0</t>
  </si>
  <si>
    <t xml:space="preserve">0
（0以上
15未満）</t>
  </si>
  <si>
    <t xml:space="preserve">傾斜（度）</t>
  </si>
  <si>
    <t xml:space="preserve">要素「集材作業効率」の点数設定（例）</t>
  </si>
  <si>
    <t xml:space="preserve">地域で使用されている作業システム（林業機械）について、①作業システムに入力してください。（10種類まで入力可能です。）</t>
  </si>
  <si>
    <t xml:space="preserve">作業効率が良く集材コストが低い、収益性が高い作業システムをコード10に、上から順に入力してください。最終的には高（3点）中（2点）低（１点）の3区分となります。</t>
  </si>
  <si>
    <t xml:space="preserve">②は、その作業システムが対応可能な起伏量、傾斜に合わせて選択してください。</t>
  </si>
  <si>
    <t xml:space="preserve">CTL</t>
  </si>
  <si>
    <t xml:space="preserve">収益性が高い
集材コストが低い</t>
  </si>
  <si>
    <t xml:space="preserve">9-13tグラップル</t>
  </si>
  <si>
    <t xml:space="preserve">ー</t>
  </si>
  <si>
    <t xml:space="preserve">9-13tウィンチ</t>
  </si>
  <si>
    <t xml:space="preserve">本架線</t>
  </si>
  <si>
    <t xml:space="preserve">9-13tスイングヤーダ</t>
  </si>
  <si>
    <t xml:space="preserve">6-8tウィンチ</t>
  </si>
  <si>
    <t xml:space="preserve">6-8tスイングヤーダ</t>
  </si>
  <si>
    <t xml:space="preserve">3-4tウィンチ</t>
  </si>
  <si>
    <t xml:space="preserve">タワーヤーダ</t>
  </si>
  <si>
    <t xml:space="preserve">収益性が低い
集材コストが高い</t>
  </si>
  <si>
    <t xml:space="preserve">code</t>
  </si>
  <si>
    <t xml:space="preserve">name</t>
  </si>
  <si>
    <t xml:space="preserve">該当なし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</si>
</sst>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BIZ UDPゴシック"/>
      <family val="3"/>
      <charset val="128"/>
    </font>
    <font>
      <b val="true"/>
      <sz val="14"/>
      <color theme="1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b val="true"/>
      <sz val="11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2" tint="-0.75"/>
        <bgColor rgb="FF333300"/>
      </patternFill>
    </fill>
    <fill>
      <patternFill patternType="solid">
        <fgColor rgb="FFFF99CC"/>
        <bgColor rgb="FFCC99FF"/>
      </patternFill>
    </fill>
    <fill>
      <patternFill patternType="solid">
        <fgColor rgb="FFFFFF99"/>
        <bgColor rgb="FFFFFFC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CCECFF"/>
        </patternFill>
      </fill>
    </dxf>
    <dxf>
      <fill>
        <patternFill>
          <bgColor rgb="FFCCCCFF"/>
        </patternFill>
      </fill>
    </dxf>
    <dxf>
      <fill>
        <patternFill>
          <bgColor rgb="FF00B0F0"/>
        </patternFill>
      </fill>
    </dxf>
    <dxf>
      <fill>
        <patternFill>
          <bgColor rgb="FF0083E6"/>
        </patternFill>
      </fill>
    </dxf>
    <dxf>
      <fill>
        <patternFill>
          <bgColor rgb="FF00C85A"/>
        </patternFill>
      </fill>
    </dxf>
    <dxf>
      <fill>
        <patternFill>
          <bgColor rgb="FFA7D971"/>
        </patternFill>
      </fill>
    </dxf>
    <dxf>
      <fill>
        <patternFill>
          <bgColor rgb="FFCCFF66"/>
        </patternFill>
      </fill>
    </dxf>
    <dxf>
      <fill>
        <patternFill>
          <bgColor rgb="FFFFFF99"/>
        </patternFill>
      </fill>
    </dxf>
    <dxf>
      <fill>
        <patternFill>
          <bgColor rgb="FFFF9966"/>
        </patternFill>
      </fill>
    </dxf>
    <dxf>
      <fill>
        <patternFill>
          <bgColor rgb="FFFF5050"/>
        </patternFill>
      </fill>
    </dxf>
    <dxf>
      <fill>
        <patternFill>
          <bgColor rgb="FFCCECFF"/>
        </patternFill>
      </fill>
    </dxf>
    <dxf>
      <fill>
        <patternFill>
          <bgColor rgb="FFCCCCFF"/>
        </patternFill>
      </fill>
    </dxf>
    <dxf>
      <fill>
        <patternFill>
          <bgColor rgb="FF00B0F0"/>
        </patternFill>
      </fill>
    </dxf>
    <dxf>
      <fill>
        <patternFill>
          <bgColor rgb="FF0083E6"/>
        </patternFill>
      </fill>
    </dxf>
    <dxf>
      <fill>
        <patternFill>
          <bgColor rgb="FF00C85A"/>
        </patternFill>
      </fill>
    </dxf>
    <dxf>
      <fill>
        <patternFill>
          <bgColor rgb="FFA7D971"/>
        </patternFill>
      </fill>
    </dxf>
    <dxf>
      <fill>
        <patternFill>
          <bgColor rgb="FFCCFF66"/>
        </patternFill>
      </fill>
    </dxf>
    <dxf>
      <fill>
        <patternFill>
          <bgColor rgb="FFFFFF99"/>
        </patternFill>
      </fill>
    </dxf>
    <dxf>
      <fill>
        <patternFill>
          <bgColor rgb="FFFF9966"/>
        </patternFill>
      </fill>
    </dxf>
    <dxf>
      <fill>
        <patternFill>
          <bgColor rgb="FFFF5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7D971"/>
      <rgbColor rgb="FF808080"/>
      <rgbColor rgb="FF9999FF"/>
      <rgbColor rgb="FF993366"/>
      <rgbColor rgb="FFFFFFCC"/>
      <rgbColor rgb="FFCCECFF"/>
      <rgbColor rgb="FF660066"/>
      <rgbColor rgb="FFFF9966"/>
      <rgbColor rgb="FF0083E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6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C85A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507960</xdr:colOff>
      <xdr:row>8</xdr:row>
      <xdr:rowOff>127080</xdr:rowOff>
    </xdr:from>
    <xdr:to>
      <xdr:col>2</xdr:col>
      <xdr:colOff>781920</xdr:colOff>
      <xdr:row>15</xdr:row>
      <xdr:rowOff>401040</xdr:rowOff>
    </xdr:to>
    <xdr:sp>
      <xdr:nvSpPr>
        <xdr:cNvPr id="0" name="矢印: 上下 2"/>
        <xdr:cNvSpPr/>
      </xdr:nvSpPr>
      <xdr:spPr>
        <a:xfrm>
          <a:off x="2502000" y="2679840"/>
          <a:ext cx="273960" cy="3674160"/>
        </a:xfrm>
        <a:prstGeom prst="upDown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507960</xdr:colOff>
      <xdr:row>8</xdr:row>
      <xdr:rowOff>127080</xdr:rowOff>
    </xdr:from>
    <xdr:to>
      <xdr:col>2</xdr:col>
      <xdr:colOff>781920</xdr:colOff>
      <xdr:row>15</xdr:row>
      <xdr:rowOff>401040</xdr:rowOff>
    </xdr:to>
    <xdr:sp>
      <xdr:nvSpPr>
        <xdr:cNvPr id="1" name="矢印: 上下 1"/>
        <xdr:cNvSpPr/>
      </xdr:nvSpPr>
      <xdr:spPr>
        <a:xfrm>
          <a:off x="2502000" y="2241720"/>
          <a:ext cx="273960" cy="3674160"/>
        </a:xfrm>
        <a:prstGeom prst="upDown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M20"/>
  <sheetViews>
    <sheetView showFormulas="false" showGridLines="false" showRowColHeaders="true" showZeros="true" rightToLeft="false" tabSelected="false" showOutlineSymbols="true" defaultGridColor="true" view="normal" topLeftCell="A4" colorId="64" zoomScale="70" zoomScaleNormal="70" zoomScalePageLayoutView="100" workbookViewId="0">
      <selection pane="topLeft" activeCell="C19" activeCellId="0" sqref="C19"/>
    </sheetView>
  </sheetViews>
  <sheetFormatPr defaultColWidth="8.66796875" defaultRowHeight="12.7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.75"/>
    <col collapsed="false" customWidth="true" hidden="false" outlineLevel="0" max="3" min="3" style="1" width="18.41"/>
    <col collapsed="false" customWidth="true" hidden="false" outlineLevel="0" max="4" min="4" style="1" width="8.41"/>
    <col collapsed="false" customWidth="true" hidden="false" outlineLevel="0" max="5" min="5" style="1" width="14.83"/>
    <col collapsed="false" customWidth="true" hidden="false" outlineLevel="0" max="6" min="6" style="1" width="11.17"/>
    <col collapsed="false" customWidth="true" hidden="false" outlineLevel="0" max="12" min="7" style="1" width="11.75"/>
    <col collapsed="false" customWidth="false" hidden="false" outlineLevel="0" max="16384" min="13" style="1" width="8.67"/>
  </cols>
  <sheetData>
    <row r="1" s="2" customFormat="true" ht="27" hidden="false" customHeight="true" outlineLevel="0" collapsed="false">
      <c r="A1" s="2" t="s">
        <v>0</v>
      </c>
    </row>
    <row r="2" customFormat="false" ht="16.5" hidden="false" customHeight="true" outlineLevel="0" collapsed="false"/>
    <row r="3" customFormat="false" ht="16.5" hidden="false" customHeight="true" outlineLevel="0" collapsed="false">
      <c r="A3" s="1" t="s">
        <v>1</v>
      </c>
    </row>
    <row r="4" customFormat="false" ht="16.5" hidden="false" customHeight="true" outlineLevel="0" collapsed="false">
      <c r="A4" s="1" t="s">
        <v>2</v>
      </c>
    </row>
    <row r="5" customFormat="false" ht="53.2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16.5" hidden="false" customHeight="true" outlineLevel="0" collapsed="false"/>
    <row r="7" customFormat="false" ht="16.5" hidden="false" customHeight="true" outlineLevel="0" collapsed="false">
      <c r="A7" s="4" t="s">
        <v>4</v>
      </c>
      <c r="B7" s="4" t="s">
        <v>5</v>
      </c>
      <c r="C7" s="4" t="s">
        <v>6</v>
      </c>
      <c r="G7" s="5" t="s">
        <v>7</v>
      </c>
      <c r="H7" s="5"/>
      <c r="I7" s="5"/>
      <c r="J7" s="5"/>
      <c r="K7" s="5"/>
      <c r="L7" s="5"/>
    </row>
    <row r="8" s="10" customFormat="true" ht="38.25" hidden="false" customHeight="true" outlineLevel="0" collapsed="false">
      <c r="A8" s="6" t="s">
        <v>8</v>
      </c>
      <c r="B8" s="7" t="n">
        <v>10</v>
      </c>
      <c r="C8" s="8" t="s">
        <v>9</v>
      </c>
      <c r="D8" s="9"/>
      <c r="F8" s="11" t="n">
        <v>550</v>
      </c>
      <c r="G8" s="1"/>
      <c r="H8" s="1"/>
      <c r="I8" s="1"/>
      <c r="J8" s="1"/>
      <c r="K8" s="1"/>
      <c r="L8" s="1"/>
      <c r="M8" s="1"/>
    </row>
    <row r="9" s="10" customFormat="true" ht="38.25" hidden="false" customHeight="true" outlineLevel="0" collapsed="false">
      <c r="A9" s="6" t="n">
        <v>9</v>
      </c>
      <c r="B9" s="7" t="n">
        <v>9</v>
      </c>
      <c r="C9" s="12"/>
      <c r="D9" s="9"/>
      <c r="F9" s="11" t="n">
        <v>500</v>
      </c>
      <c r="G9" s="13" t="s">
        <v>10</v>
      </c>
      <c r="H9" s="14" t="s">
        <v>10</v>
      </c>
      <c r="I9" s="14" t="s">
        <v>10</v>
      </c>
      <c r="J9" s="14" t="s">
        <v>10</v>
      </c>
      <c r="K9" s="14" t="s">
        <v>10</v>
      </c>
      <c r="L9" s="15" t="s">
        <v>10</v>
      </c>
      <c r="M9" s="1"/>
    </row>
    <row r="10" s="10" customFormat="true" ht="38.25" hidden="false" customHeight="true" outlineLevel="0" collapsed="false">
      <c r="A10" s="6" t="n">
        <v>8</v>
      </c>
      <c r="B10" s="7" t="n">
        <v>8</v>
      </c>
      <c r="C10" s="12"/>
      <c r="D10" s="9"/>
      <c r="F10" s="11" t="n">
        <v>450</v>
      </c>
      <c r="G10" s="16" t="n">
        <v>2</v>
      </c>
      <c r="H10" s="7" t="n">
        <v>2</v>
      </c>
      <c r="I10" s="7" t="n">
        <v>2</v>
      </c>
      <c r="J10" s="7" t="n">
        <v>2</v>
      </c>
      <c r="K10" s="7" t="n">
        <v>2</v>
      </c>
      <c r="L10" s="17" t="n">
        <v>2</v>
      </c>
      <c r="M10" s="1"/>
    </row>
    <row r="11" s="10" customFormat="true" ht="38.25" hidden="false" customHeight="true" outlineLevel="0" collapsed="false">
      <c r="A11" s="6" t="n">
        <v>7</v>
      </c>
      <c r="B11" s="7" t="n">
        <v>7</v>
      </c>
      <c r="C11" s="12"/>
      <c r="D11" s="9"/>
      <c r="F11" s="11" t="n">
        <v>400</v>
      </c>
      <c r="G11" s="16" t="n">
        <v>3</v>
      </c>
      <c r="H11" s="7" t="n">
        <v>3</v>
      </c>
      <c r="I11" s="7" t="n">
        <v>3</v>
      </c>
      <c r="J11" s="7" t="n">
        <v>3</v>
      </c>
      <c r="K11" s="7" t="n">
        <v>3</v>
      </c>
      <c r="L11" s="17" t="n">
        <v>3</v>
      </c>
      <c r="M11" s="1"/>
    </row>
    <row r="12" s="10" customFormat="true" ht="38.25" hidden="false" customHeight="true" outlineLevel="0" collapsed="false">
      <c r="A12" s="6" t="n">
        <v>6</v>
      </c>
      <c r="B12" s="7" t="n">
        <v>6</v>
      </c>
      <c r="C12" s="12"/>
      <c r="D12" s="9"/>
      <c r="E12" s="18" t="s">
        <v>11</v>
      </c>
      <c r="F12" s="11" t="n">
        <v>350</v>
      </c>
      <c r="G12" s="16" t="n">
        <v>4</v>
      </c>
      <c r="H12" s="7" t="n">
        <v>4</v>
      </c>
      <c r="I12" s="7" t="n">
        <v>4</v>
      </c>
      <c r="J12" s="7" t="n">
        <v>4</v>
      </c>
      <c r="K12" s="7" t="n">
        <v>4</v>
      </c>
      <c r="L12" s="17" t="n">
        <v>4</v>
      </c>
      <c r="M12" s="1"/>
    </row>
    <row r="13" s="10" customFormat="true" ht="38.25" hidden="false" customHeight="true" outlineLevel="0" collapsed="false">
      <c r="A13" s="6" t="n">
        <v>5</v>
      </c>
      <c r="B13" s="7" t="n">
        <v>5</v>
      </c>
      <c r="C13" s="12"/>
      <c r="D13" s="9"/>
      <c r="E13" s="18"/>
      <c r="F13" s="11" t="n">
        <v>300</v>
      </c>
      <c r="G13" s="16" t="n">
        <v>5</v>
      </c>
      <c r="H13" s="7" t="n">
        <v>5</v>
      </c>
      <c r="I13" s="7" t="n">
        <v>5</v>
      </c>
      <c r="J13" s="7" t="n">
        <v>5</v>
      </c>
      <c r="K13" s="7" t="n">
        <v>5</v>
      </c>
      <c r="L13" s="17" t="n">
        <v>5</v>
      </c>
      <c r="M13" s="1"/>
    </row>
    <row r="14" s="10" customFormat="true" ht="38.25" hidden="false" customHeight="true" outlineLevel="0" collapsed="false">
      <c r="A14" s="6" t="n">
        <v>4</v>
      </c>
      <c r="B14" s="7" t="n">
        <v>4</v>
      </c>
      <c r="C14" s="12"/>
      <c r="D14" s="9"/>
      <c r="F14" s="11" t="n">
        <v>250</v>
      </c>
      <c r="G14" s="16" t="n">
        <v>6</v>
      </c>
      <c r="H14" s="7" t="n">
        <v>6</v>
      </c>
      <c r="I14" s="7" t="n">
        <v>6</v>
      </c>
      <c r="J14" s="7" t="n">
        <v>6</v>
      </c>
      <c r="K14" s="7" t="n">
        <v>6</v>
      </c>
      <c r="L14" s="17" t="n">
        <v>6</v>
      </c>
      <c r="M14" s="1"/>
    </row>
    <row r="15" s="10" customFormat="true" ht="38.25" hidden="false" customHeight="true" outlineLevel="0" collapsed="false">
      <c r="A15" s="6" t="n">
        <v>3</v>
      </c>
      <c r="B15" s="7" t="n">
        <v>3</v>
      </c>
      <c r="C15" s="12"/>
      <c r="D15" s="9"/>
      <c r="F15" s="11" t="n">
        <v>200</v>
      </c>
      <c r="G15" s="16" t="n">
        <v>7</v>
      </c>
      <c r="H15" s="7" t="n">
        <v>7</v>
      </c>
      <c r="I15" s="7" t="n">
        <v>7</v>
      </c>
      <c r="J15" s="7" t="n">
        <v>7</v>
      </c>
      <c r="K15" s="7" t="n">
        <v>7</v>
      </c>
      <c r="L15" s="17" t="n">
        <v>6</v>
      </c>
      <c r="M15" s="1"/>
    </row>
    <row r="16" s="10" customFormat="true" ht="38.25" hidden="false" customHeight="true" outlineLevel="0" collapsed="false">
      <c r="A16" s="6" t="n">
        <v>2</v>
      </c>
      <c r="B16" s="7" t="n">
        <v>2</v>
      </c>
      <c r="C16" s="12"/>
      <c r="D16" s="9"/>
      <c r="F16" s="11" t="n">
        <v>150</v>
      </c>
      <c r="G16" s="16" t="n">
        <v>8</v>
      </c>
      <c r="H16" s="7" t="n">
        <v>8</v>
      </c>
      <c r="I16" s="7" t="n">
        <v>8</v>
      </c>
      <c r="J16" s="7" t="n">
        <v>8</v>
      </c>
      <c r="K16" s="7" t="n">
        <v>7</v>
      </c>
      <c r="L16" s="17" t="n">
        <v>6</v>
      </c>
      <c r="M16" s="1"/>
    </row>
    <row r="17" s="10" customFormat="true" ht="38.25" hidden="false" customHeight="true" outlineLevel="0" collapsed="false">
      <c r="A17" s="6" t="s">
        <v>10</v>
      </c>
      <c r="B17" s="7" t="n">
        <v>1</v>
      </c>
      <c r="C17" s="19" t="s">
        <v>12</v>
      </c>
      <c r="D17" s="9"/>
      <c r="F17" s="11" t="n">
        <v>100</v>
      </c>
      <c r="G17" s="16" t="n">
        <v>9</v>
      </c>
      <c r="H17" s="7" t="n">
        <v>9</v>
      </c>
      <c r="I17" s="7" t="n">
        <v>9</v>
      </c>
      <c r="J17" s="7" t="n">
        <v>8</v>
      </c>
      <c r="K17" s="7" t="n">
        <v>7</v>
      </c>
      <c r="L17" s="17" t="n">
        <v>6</v>
      </c>
      <c r="M17" s="1"/>
    </row>
    <row r="18" s="10" customFormat="true" ht="38.25" hidden="false" customHeight="true" outlineLevel="0" collapsed="false">
      <c r="A18" s="20" t="s">
        <v>13</v>
      </c>
      <c r="B18" s="20" t="n">
        <v>0</v>
      </c>
      <c r="C18" s="1"/>
      <c r="F18" s="21" t="s">
        <v>14</v>
      </c>
      <c r="G18" s="22" t="s">
        <v>8</v>
      </c>
      <c r="H18" s="23" t="s">
        <v>8</v>
      </c>
      <c r="I18" s="23" t="n">
        <v>9</v>
      </c>
      <c r="J18" s="23" t="n">
        <v>8</v>
      </c>
      <c r="K18" s="23" t="n">
        <v>7</v>
      </c>
      <c r="L18" s="24" t="n">
        <v>6</v>
      </c>
      <c r="M18" s="1"/>
    </row>
    <row r="19" s="10" customFormat="true" ht="38.25" hidden="false" customHeight="true" outlineLevel="0" collapsed="false">
      <c r="G19" s="25" t="s">
        <v>15</v>
      </c>
      <c r="H19" s="26" t="n">
        <v>15</v>
      </c>
      <c r="I19" s="26" t="n">
        <v>20</v>
      </c>
      <c r="J19" s="26" t="n">
        <v>25</v>
      </c>
      <c r="K19" s="26" t="n">
        <v>30</v>
      </c>
      <c r="L19" s="26" t="n">
        <v>35</v>
      </c>
      <c r="M19" s="26" t="n">
        <v>40</v>
      </c>
    </row>
    <row r="20" customFormat="false" ht="13.8" hidden="false" customHeight="false" outlineLevel="0" collapsed="false">
      <c r="J20" s="1" t="s">
        <v>16</v>
      </c>
    </row>
  </sheetData>
  <mergeCells count="3">
    <mergeCell ref="A5:L5"/>
    <mergeCell ref="G7:L7"/>
    <mergeCell ref="E12:E13"/>
  </mergeCells>
  <conditionalFormatting sqref="G9:L18">
    <cfRule type="cellIs" priority="2" operator="equal" aboveAverage="0" equalAverage="0" bottom="0" percent="0" rank="0" text="" dxfId="0">
      <formula>$A$17</formula>
    </cfRule>
    <cfRule type="cellIs" priority="3" operator="equal" aboveAverage="0" equalAverage="0" bottom="0" percent="0" rank="0" text="" dxfId="1">
      <formula>$A$16</formula>
    </cfRule>
    <cfRule type="cellIs" priority="4" operator="equal" aboveAverage="0" equalAverage="0" bottom="0" percent="0" rank="0" text="" dxfId="2">
      <formula>$A$15</formula>
    </cfRule>
    <cfRule type="cellIs" priority="5" operator="equal" aboveAverage="0" equalAverage="0" bottom="0" percent="0" rank="0" text="" dxfId="3">
      <formula>$A$14</formula>
    </cfRule>
    <cfRule type="cellIs" priority="6" operator="equal" aboveAverage="0" equalAverage="0" bottom="0" percent="0" rank="0" text="" dxfId="4">
      <formula>$A$13</formula>
    </cfRule>
    <cfRule type="cellIs" priority="7" operator="equal" aboveAverage="0" equalAverage="0" bottom="0" percent="0" rank="0" text="" dxfId="5">
      <formula>$A$12</formula>
    </cfRule>
    <cfRule type="cellIs" priority="8" operator="equal" aboveAverage="0" equalAverage="0" bottom="0" percent="0" rank="0" text="" dxfId="6">
      <formula>$A$11</formula>
    </cfRule>
    <cfRule type="cellIs" priority="9" operator="equal" aboveAverage="0" equalAverage="0" bottom="0" percent="0" rank="0" text="" dxfId="7">
      <formula>$A$10</formula>
    </cfRule>
    <cfRule type="cellIs" priority="10" operator="equal" aboveAverage="0" equalAverage="0" bottom="0" percent="0" rank="0" text="" dxfId="8">
      <formula>$A$9</formula>
    </cfRule>
    <cfRule type="cellIs" priority="11" operator="equal" aboveAverage="0" equalAverage="0" bottom="0" percent="0" rank="0" text="" dxfId="9">
      <formula>$A$8</formula>
    </cfRule>
  </conditionalFormatting>
  <dataValidations count="1">
    <dataValidation allowBlank="true" errorStyle="stop" operator="between" showDropDown="false" showErrorMessage="true" showInputMessage="true" sqref="G9:L18" type="list">
      <formula1>$A$8:$A$17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2" colorId="64" zoomScale="70" zoomScaleNormal="70" zoomScalePageLayoutView="100" workbookViewId="0">
      <selection pane="topLeft" activeCell="L11" activeCellId="0" sqref="L11"/>
    </sheetView>
  </sheetViews>
  <sheetFormatPr defaultColWidth="8.66796875" defaultRowHeight="12.7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.75"/>
    <col collapsed="false" customWidth="true" hidden="false" outlineLevel="0" max="3" min="3" style="1" width="18.41"/>
    <col collapsed="false" customWidth="true" hidden="false" outlineLevel="0" max="4" min="4" style="1" width="8.41"/>
    <col collapsed="false" customWidth="true" hidden="false" outlineLevel="0" max="5" min="5" style="1" width="14.83"/>
    <col collapsed="false" customWidth="true" hidden="false" outlineLevel="0" max="6" min="6" style="1" width="11.17"/>
    <col collapsed="false" customWidth="true" hidden="false" outlineLevel="0" max="12" min="7" style="1" width="11.75"/>
    <col collapsed="false" customWidth="false" hidden="false" outlineLevel="0" max="16384" min="13" style="1" width="8.67"/>
  </cols>
  <sheetData>
    <row r="1" s="2" customFormat="true" ht="27" hidden="false" customHeight="true" outlineLevel="0" collapsed="false">
      <c r="A1" s="2" t="s">
        <v>17</v>
      </c>
    </row>
    <row r="2" customFormat="false" ht="16.5" hidden="false" customHeight="true" outlineLevel="0" collapsed="false"/>
    <row r="3" customFormat="false" ht="16.5" hidden="false" customHeight="true" outlineLevel="0" collapsed="false">
      <c r="A3" s="1" t="s">
        <v>18</v>
      </c>
    </row>
    <row r="4" customFormat="false" ht="16.5" hidden="false" customHeight="true" outlineLevel="0" collapsed="false">
      <c r="A4" s="1" t="s">
        <v>19</v>
      </c>
    </row>
    <row r="5" customFormat="false" ht="18.75" hidden="false" customHeight="true" outlineLevel="0" collapsed="false">
      <c r="A5" s="1" t="s">
        <v>20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customFormat="false" ht="16.5" hidden="false" customHeight="true" outlineLevel="0" collapsed="false"/>
    <row r="7" customFormat="false" ht="16.5" hidden="false" customHeight="true" outlineLevel="0" collapsed="false">
      <c r="A7" s="4" t="s">
        <v>4</v>
      </c>
      <c r="B7" s="4" t="s">
        <v>5</v>
      </c>
      <c r="C7" s="4" t="s">
        <v>6</v>
      </c>
      <c r="G7" s="5" t="s">
        <v>7</v>
      </c>
      <c r="H7" s="5"/>
      <c r="I7" s="5"/>
      <c r="J7" s="5"/>
      <c r="K7" s="5"/>
      <c r="L7" s="5"/>
    </row>
    <row r="8" s="10" customFormat="true" ht="38.25" hidden="false" customHeight="true" outlineLevel="0" collapsed="false">
      <c r="A8" s="6" t="s">
        <v>21</v>
      </c>
      <c r="B8" s="7" t="n">
        <v>10</v>
      </c>
      <c r="C8" s="8" t="s">
        <v>22</v>
      </c>
      <c r="D8" s="9"/>
      <c r="F8" s="11" t="n">
        <v>550</v>
      </c>
      <c r="G8" s="1"/>
      <c r="H8" s="1"/>
      <c r="I8" s="1"/>
      <c r="J8" s="1"/>
      <c r="K8" s="1"/>
      <c r="L8" s="1"/>
      <c r="M8" s="1"/>
    </row>
    <row r="9" s="10" customFormat="true" ht="38.25" hidden="false" customHeight="true" outlineLevel="0" collapsed="false">
      <c r="A9" s="6" t="s">
        <v>23</v>
      </c>
      <c r="B9" s="7" t="n">
        <v>9</v>
      </c>
      <c r="C9" s="12"/>
      <c r="D9" s="9"/>
      <c r="F9" s="11" t="n">
        <v>500</v>
      </c>
      <c r="G9" s="13" t="s">
        <v>24</v>
      </c>
      <c r="H9" s="14" t="s">
        <v>24</v>
      </c>
      <c r="I9" s="14" t="s">
        <v>24</v>
      </c>
      <c r="J9" s="14" t="s">
        <v>24</v>
      </c>
      <c r="K9" s="14" t="s">
        <v>24</v>
      </c>
      <c r="L9" s="15"/>
      <c r="M9" s="1"/>
    </row>
    <row r="10" s="10" customFormat="true" ht="38.25" hidden="false" customHeight="true" outlineLevel="0" collapsed="false">
      <c r="A10" s="6" t="s">
        <v>25</v>
      </c>
      <c r="B10" s="7" t="n">
        <v>8</v>
      </c>
      <c r="C10" s="12"/>
      <c r="D10" s="9"/>
      <c r="F10" s="11" t="n">
        <v>450</v>
      </c>
      <c r="G10" s="16" t="s">
        <v>26</v>
      </c>
      <c r="H10" s="7" t="s">
        <v>26</v>
      </c>
      <c r="I10" s="16" t="s">
        <v>26</v>
      </c>
      <c r="J10" s="7" t="s">
        <v>26</v>
      </c>
      <c r="K10" s="7" t="s">
        <v>24</v>
      </c>
      <c r="L10" s="17" t="s">
        <v>24</v>
      </c>
      <c r="M10" s="1"/>
    </row>
    <row r="11" s="10" customFormat="true" ht="38.25" hidden="false" customHeight="true" outlineLevel="0" collapsed="false">
      <c r="A11" s="6" t="s">
        <v>27</v>
      </c>
      <c r="B11" s="7" t="n">
        <v>7</v>
      </c>
      <c r="C11" s="12"/>
      <c r="D11" s="9"/>
      <c r="F11" s="11" t="n">
        <v>400</v>
      </c>
      <c r="G11" s="16" t="s">
        <v>27</v>
      </c>
      <c r="H11" s="7" t="s">
        <v>27</v>
      </c>
      <c r="I11" s="16" t="s">
        <v>26</v>
      </c>
      <c r="J11" s="7" t="s">
        <v>26</v>
      </c>
      <c r="K11" s="7" t="s">
        <v>26</v>
      </c>
      <c r="L11" s="17" t="s">
        <v>24</v>
      </c>
      <c r="M11" s="1"/>
    </row>
    <row r="12" s="10" customFormat="true" ht="38.25" hidden="false" customHeight="true" outlineLevel="0" collapsed="false">
      <c r="A12" s="6" t="s">
        <v>28</v>
      </c>
      <c r="B12" s="7" t="n">
        <v>6</v>
      </c>
      <c r="C12" s="12"/>
      <c r="D12" s="9"/>
      <c r="E12" s="18" t="s">
        <v>11</v>
      </c>
      <c r="F12" s="11" t="n">
        <v>350</v>
      </c>
      <c r="G12" s="16" t="s">
        <v>27</v>
      </c>
      <c r="H12" s="7" t="s">
        <v>27</v>
      </c>
      <c r="I12" s="7" t="s">
        <v>27</v>
      </c>
      <c r="J12" s="7" t="s">
        <v>29</v>
      </c>
      <c r="K12" s="7" t="s">
        <v>26</v>
      </c>
      <c r="L12" s="17" t="s">
        <v>26</v>
      </c>
      <c r="M12" s="1"/>
    </row>
    <row r="13" s="10" customFormat="true" ht="38.25" hidden="false" customHeight="true" outlineLevel="0" collapsed="false">
      <c r="A13" s="6" t="s">
        <v>29</v>
      </c>
      <c r="B13" s="7" t="n">
        <v>5</v>
      </c>
      <c r="C13" s="12"/>
      <c r="D13" s="9"/>
      <c r="E13" s="18"/>
      <c r="F13" s="11" t="n">
        <v>300</v>
      </c>
      <c r="G13" s="16" t="s">
        <v>27</v>
      </c>
      <c r="H13" s="7" t="s">
        <v>27</v>
      </c>
      <c r="I13" s="7" t="s">
        <v>27</v>
      </c>
      <c r="J13" s="7" t="s">
        <v>29</v>
      </c>
      <c r="K13" s="7" t="s">
        <v>26</v>
      </c>
      <c r="L13" s="17" t="s">
        <v>26</v>
      </c>
      <c r="M13" s="1"/>
    </row>
    <row r="14" s="10" customFormat="true" ht="38.25" hidden="false" customHeight="true" outlineLevel="0" collapsed="false">
      <c r="A14" s="6" t="s">
        <v>30</v>
      </c>
      <c r="B14" s="7" t="n">
        <v>4</v>
      </c>
      <c r="C14" s="12"/>
      <c r="D14" s="9"/>
      <c r="F14" s="11" t="n">
        <v>250</v>
      </c>
      <c r="G14" s="16" t="s">
        <v>27</v>
      </c>
      <c r="H14" s="7" t="s">
        <v>27</v>
      </c>
      <c r="I14" s="7" t="s">
        <v>27</v>
      </c>
      <c r="J14" s="7" t="s">
        <v>29</v>
      </c>
      <c r="K14" s="7" t="s">
        <v>31</v>
      </c>
      <c r="L14" s="17" t="s">
        <v>26</v>
      </c>
      <c r="M14" s="1"/>
    </row>
    <row r="15" s="10" customFormat="true" ht="38.25" hidden="false" customHeight="true" outlineLevel="0" collapsed="false">
      <c r="A15" s="6" t="s">
        <v>31</v>
      </c>
      <c r="B15" s="7" t="n">
        <v>3</v>
      </c>
      <c r="C15" s="12"/>
      <c r="D15" s="9"/>
      <c r="F15" s="11" t="n">
        <v>200</v>
      </c>
      <c r="G15" s="16" t="s">
        <v>21</v>
      </c>
      <c r="H15" s="7" t="s">
        <v>25</v>
      </c>
      <c r="I15" s="7" t="s">
        <v>27</v>
      </c>
      <c r="J15" s="7" t="s">
        <v>29</v>
      </c>
      <c r="K15" s="7" t="s">
        <v>31</v>
      </c>
      <c r="L15" s="17" t="s">
        <v>26</v>
      </c>
      <c r="M15" s="1"/>
    </row>
    <row r="16" s="10" customFormat="true" ht="38.25" hidden="false" customHeight="true" outlineLevel="0" collapsed="false">
      <c r="A16" s="6" t="s">
        <v>26</v>
      </c>
      <c r="B16" s="7" t="n">
        <v>2</v>
      </c>
      <c r="C16" s="12"/>
      <c r="D16" s="9"/>
      <c r="F16" s="11" t="n">
        <v>150</v>
      </c>
      <c r="G16" s="16" t="s">
        <v>21</v>
      </c>
      <c r="H16" s="7" t="s">
        <v>25</v>
      </c>
      <c r="I16" s="7" t="s">
        <v>25</v>
      </c>
      <c r="J16" s="7" t="s">
        <v>28</v>
      </c>
      <c r="K16" s="7" t="s">
        <v>30</v>
      </c>
      <c r="L16" s="17" t="s">
        <v>26</v>
      </c>
      <c r="M16" s="1"/>
    </row>
    <row r="17" s="10" customFormat="true" ht="38.25" hidden="false" customHeight="true" outlineLevel="0" collapsed="false">
      <c r="A17" s="6" t="s">
        <v>24</v>
      </c>
      <c r="B17" s="7" t="n">
        <v>1</v>
      </c>
      <c r="C17" s="19" t="s">
        <v>32</v>
      </c>
      <c r="D17" s="9"/>
      <c r="F17" s="11" t="n">
        <v>100</v>
      </c>
      <c r="G17" s="16" t="s">
        <v>21</v>
      </c>
      <c r="H17" s="7" t="s">
        <v>23</v>
      </c>
      <c r="I17" s="7" t="s">
        <v>25</v>
      </c>
      <c r="J17" s="7" t="s">
        <v>28</v>
      </c>
      <c r="K17" s="7" t="s">
        <v>30</v>
      </c>
      <c r="L17" s="17" t="s">
        <v>26</v>
      </c>
      <c r="M17" s="1"/>
    </row>
    <row r="18" s="10" customFormat="true" ht="38.25" hidden="false" customHeight="true" outlineLevel="0" collapsed="false">
      <c r="A18" s="20" t="s">
        <v>13</v>
      </c>
      <c r="B18" s="20" t="n">
        <v>0</v>
      </c>
      <c r="C18" s="1"/>
      <c r="F18" s="21" t="s">
        <v>14</v>
      </c>
      <c r="G18" s="22" t="s">
        <v>21</v>
      </c>
      <c r="H18" s="23" t="s">
        <v>23</v>
      </c>
      <c r="I18" s="23" t="s">
        <v>23</v>
      </c>
      <c r="J18" s="23" t="s">
        <v>28</v>
      </c>
      <c r="K18" s="23" t="s">
        <v>30</v>
      </c>
      <c r="L18" s="24" t="s">
        <v>26</v>
      </c>
      <c r="M18" s="1"/>
    </row>
    <row r="19" s="10" customFormat="true" ht="38.25" hidden="false" customHeight="true" outlineLevel="0" collapsed="false">
      <c r="G19" s="25" t="s">
        <v>15</v>
      </c>
      <c r="H19" s="26" t="n">
        <v>15</v>
      </c>
      <c r="I19" s="26" t="n">
        <v>20</v>
      </c>
      <c r="J19" s="26" t="n">
        <v>25</v>
      </c>
      <c r="K19" s="26" t="n">
        <v>30</v>
      </c>
      <c r="L19" s="26" t="n">
        <v>35</v>
      </c>
      <c r="M19" s="26" t="n">
        <v>40</v>
      </c>
    </row>
    <row r="20" customFormat="false" ht="13.8" hidden="false" customHeight="false" outlineLevel="0" collapsed="false">
      <c r="J20" s="1" t="s">
        <v>16</v>
      </c>
    </row>
  </sheetData>
  <mergeCells count="2">
    <mergeCell ref="G7:L7"/>
    <mergeCell ref="E12:E13"/>
  </mergeCells>
  <conditionalFormatting sqref="G9:L18">
    <cfRule type="cellIs" priority="2" operator="equal" aboveAverage="0" equalAverage="0" bottom="0" percent="0" rank="0" text="" dxfId="10">
      <formula>$A$17</formula>
    </cfRule>
    <cfRule type="cellIs" priority="3" operator="equal" aboveAverage="0" equalAverage="0" bottom="0" percent="0" rank="0" text="" dxfId="11">
      <formula>$A$16</formula>
    </cfRule>
    <cfRule type="cellIs" priority="4" operator="equal" aboveAverage="0" equalAverage="0" bottom="0" percent="0" rank="0" text="" dxfId="12">
      <formula>$A$15</formula>
    </cfRule>
    <cfRule type="cellIs" priority="5" operator="equal" aboveAverage="0" equalAverage="0" bottom="0" percent="0" rank="0" text="" dxfId="13">
      <formula>$A$14</formula>
    </cfRule>
    <cfRule type="cellIs" priority="6" operator="equal" aboveAverage="0" equalAverage="0" bottom="0" percent="0" rank="0" text="" dxfId="14">
      <formula>$A$13</formula>
    </cfRule>
    <cfRule type="cellIs" priority="7" operator="equal" aboveAverage="0" equalAverage="0" bottom="0" percent="0" rank="0" text="" dxfId="15">
      <formula>$A$12</formula>
    </cfRule>
    <cfRule type="cellIs" priority="8" operator="equal" aboveAverage="0" equalAverage="0" bottom="0" percent="0" rank="0" text="" dxfId="16">
      <formula>$A$11</formula>
    </cfRule>
    <cfRule type="cellIs" priority="9" operator="equal" aboveAverage="0" equalAverage="0" bottom="0" percent="0" rank="0" text="" dxfId="17">
      <formula>$A$10</formula>
    </cfRule>
    <cfRule type="cellIs" priority="10" operator="equal" aboveAverage="0" equalAverage="0" bottom="0" percent="0" rank="0" text="" dxfId="18">
      <formula>$A$9</formula>
    </cfRule>
    <cfRule type="cellIs" priority="11" operator="equal" aboveAverage="0" equalAverage="0" bottom="0" percent="0" rank="0" text="" dxfId="19">
      <formula>$A$8</formula>
    </cfRule>
  </conditionalFormatting>
  <dataValidations count="1">
    <dataValidation allowBlank="true" errorStyle="stop" operator="between" showDropDown="false" showErrorMessage="true" showInputMessage="true" sqref="G9:L18" type="list">
      <formula1>$A$8:$A$17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546875" defaultRowHeight="18" zeroHeight="false" outlineLevelRow="0" outlineLevelCol="0"/>
  <sheetData>
    <row r="1" customFormat="false" ht="18" hidden="false" customHeight="false" outlineLevel="0" collapsed="false">
      <c r="A1" s="28" t="n">
        <v>550</v>
      </c>
      <c r="B1" s="29" t="n">
        <v>0</v>
      </c>
      <c r="C1" s="30" t="n">
        <v>15</v>
      </c>
      <c r="D1" s="30" t="n">
        <v>20</v>
      </c>
      <c r="E1" s="30" t="n">
        <v>25</v>
      </c>
      <c r="F1" s="30" t="n">
        <v>30</v>
      </c>
      <c r="G1" s="30" t="n">
        <v>35</v>
      </c>
      <c r="H1" s="30" t="n">
        <v>40</v>
      </c>
    </row>
    <row r="2" customFormat="false" ht="18" hidden="false" customHeight="false" outlineLevel="0" collapsed="false">
      <c r="A2" s="28" t="n">
        <v>500</v>
      </c>
      <c r="B2" s="31" t="n">
        <f aca="false">IFERROR(VLOOKUP(入力!G9,入力!$A$8:$C$17,2,FALSE()),0)</f>
        <v>1</v>
      </c>
      <c r="C2" s="31" t="n">
        <f aca="false">IFERROR(VLOOKUP(入力!H9,入力!$A$8:$C$17,2,FALSE()),0)</f>
        <v>1</v>
      </c>
      <c r="D2" s="31" t="n">
        <f aca="false">IFERROR(VLOOKUP(入力!I9,入力!$A$8:$C$17,2,FALSE()),0)</f>
        <v>1</v>
      </c>
      <c r="E2" s="31" t="n">
        <f aca="false">IFERROR(VLOOKUP(入力!J9,入力!$A$8:$C$17,2,FALSE()),0)</f>
        <v>1</v>
      </c>
      <c r="F2" s="31" t="n">
        <f aca="false">IFERROR(VLOOKUP(入力!K9,入力!$A$8:$C$17,2,FALSE()),0)</f>
        <v>1</v>
      </c>
      <c r="G2" s="31" t="n">
        <f aca="false">IFERROR(VLOOKUP(入力!L9,入力!$A$8:$C$17,2,FALSE()),0)</f>
        <v>1</v>
      </c>
    </row>
    <row r="3" customFormat="false" ht="18" hidden="false" customHeight="false" outlineLevel="0" collapsed="false">
      <c r="A3" s="28" t="n">
        <v>450</v>
      </c>
      <c r="B3" s="31" t="n">
        <f aca="false">IFERROR(VLOOKUP(入力!G10,入力!$A$8:$C$17,2,FALSE()),0)</f>
        <v>2</v>
      </c>
      <c r="C3" s="31" t="n">
        <f aca="false">IFERROR(VLOOKUP(入力!H10,入力!$A$8:$C$17,2,FALSE()),0)</f>
        <v>2</v>
      </c>
      <c r="D3" s="31" t="n">
        <f aca="false">IFERROR(VLOOKUP(入力!I10,入力!$A$8:$C$17,2,FALSE()),0)</f>
        <v>2</v>
      </c>
      <c r="E3" s="31" t="n">
        <f aca="false">IFERROR(VLOOKUP(入力!J10,入力!$A$8:$C$17,2,FALSE()),0)</f>
        <v>2</v>
      </c>
      <c r="F3" s="31" t="n">
        <f aca="false">IFERROR(VLOOKUP(入力!K10,入力!$A$8:$C$17,2,FALSE()),0)</f>
        <v>2</v>
      </c>
      <c r="G3" s="31" t="n">
        <f aca="false">IFERROR(VLOOKUP(入力!L10,入力!$A$8:$C$17,2,FALSE()),0)</f>
        <v>2</v>
      </c>
    </row>
    <row r="4" customFormat="false" ht="18" hidden="false" customHeight="false" outlineLevel="0" collapsed="false">
      <c r="A4" s="28" t="n">
        <v>400</v>
      </c>
      <c r="B4" s="31" t="n">
        <f aca="false">IFERROR(VLOOKUP(入力!G11,入力!$A$8:$C$17,2,FALSE()),0)</f>
        <v>3</v>
      </c>
      <c r="C4" s="31" t="n">
        <f aca="false">IFERROR(VLOOKUP(入力!H11,入力!$A$8:$C$17,2,FALSE()),0)</f>
        <v>3</v>
      </c>
      <c r="D4" s="31" t="n">
        <f aca="false">IFERROR(VLOOKUP(入力!I11,入力!$A$8:$C$17,2,FALSE()),0)</f>
        <v>3</v>
      </c>
      <c r="E4" s="31" t="n">
        <f aca="false">IFERROR(VLOOKUP(入力!J11,入力!$A$8:$C$17,2,FALSE()),0)</f>
        <v>3</v>
      </c>
      <c r="F4" s="31" t="n">
        <f aca="false">IFERROR(VLOOKUP(入力!K11,入力!$A$8:$C$17,2,FALSE()),0)</f>
        <v>3</v>
      </c>
      <c r="G4" s="31" t="n">
        <f aca="false">IFERROR(VLOOKUP(入力!L11,入力!$A$8:$C$17,2,FALSE()),0)</f>
        <v>3</v>
      </c>
    </row>
    <row r="5" customFormat="false" ht="18" hidden="false" customHeight="false" outlineLevel="0" collapsed="false">
      <c r="A5" s="28" t="n">
        <v>350</v>
      </c>
      <c r="B5" s="31" t="n">
        <f aca="false">IFERROR(VLOOKUP(入力!G12,入力!$A$8:$C$17,2,FALSE()),0)</f>
        <v>4</v>
      </c>
      <c r="C5" s="31" t="n">
        <f aca="false">IFERROR(VLOOKUP(入力!H12,入力!$A$8:$C$17,2,FALSE()),0)</f>
        <v>4</v>
      </c>
      <c r="D5" s="31" t="n">
        <f aca="false">IFERROR(VLOOKUP(入力!I12,入力!$A$8:$C$17,2,FALSE()),0)</f>
        <v>4</v>
      </c>
      <c r="E5" s="31" t="n">
        <f aca="false">IFERROR(VLOOKUP(入力!J12,入力!$A$8:$C$17,2,FALSE()),0)</f>
        <v>4</v>
      </c>
      <c r="F5" s="31" t="n">
        <f aca="false">IFERROR(VLOOKUP(入力!K12,入力!$A$8:$C$17,2,FALSE()),0)</f>
        <v>4</v>
      </c>
      <c r="G5" s="31" t="n">
        <f aca="false">IFERROR(VLOOKUP(入力!L12,入力!$A$8:$C$17,2,FALSE()),0)</f>
        <v>4</v>
      </c>
    </row>
    <row r="6" customFormat="false" ht="18" hidden="false" customHeight="false" outlineLevel="0" collapsed="false">
      <c r="A6" s="28" t="n">
        <v>300</v>
      </c>
      <c r="B6" s="31" t="n">
        <f aca="false">IFERROR(VLOOKUP(入力!G13,入力!$A$8:$C$17,2,FALSE()),0)</f>
        <v>5</v>
      </c>
      <c r="C6" s="31" t="n">
        <f aca="false">IFERROR(VLOOKUP(入力!H13,入力!$A$8:$C$17,2,FALSE()),0)</f>
        <v>5</v>
      </c>
      <c r="D6" s="31" t="n">
        <f aca="false">IFERROR(VLOOKUP(入力!I13,入力!$A$8:$C$17,2,FALSE()),0)</f>
        <v>5</v>
      </c>
      <c r="E6" s="31" t="n">
        <f aca="false">IFERROR(VLOOKUP(入力!J13,入力!$A$8:$C$17,2,FALSE()),0)</f>
        <v>5</v>
      </c>
      <c r="F6" s="31" t="n">
        <f aca="false">IFERROR(VLOOKUP(入力!K13,入力!$A$8:$C$17,2,FALSE()),0)</f>
        <v>5</v>
      </c>
      <c r="G6" s="31" t="n">
        <f aca="false">IFERROR(VLOOKUP(入力!L13,入力!$A$8:$C$17,2,FALSE()),0)</f>
        <v>5</v>
      </c>
    </row>
    <row r="7" customFormat="false" ht="18" hidden="false" customHeight="false" outlineLevel="0" collapsed="false">
      <c r="A7" s="28" t="n">
        <v>250</v>
      </c>
      <c r="B7" s="31" t="n">
        <f aca="false">IFERROR(VLOOKUP(入力!G14,入力!$A$8:$C$17,2,FALSE()),0)</f>
        <v>6</v>
      </c>
      <c r="C7" s="31" t="n">
        <f aca="false">IFERROR(VLOOKUP(入力!H14,入力!$A$8:$C$17,2,FALSE()),0)</f>
        <v>6</v>
      </c>
      <c r="D7" s="31" t="n">
        <f aca="false">IFERROR(VLOOKUP(入力!I14,入力!$A$8:$C$17,2,FALSE()),0)</f>
        <v>6</v>
      </c>
      <c r="E7" s="31" t="n">
        <f aca="false">IFERROR(VLOOKUP(入力!J14,入力!$A$8:$C$17,2,FALSE()),0)</f>
        <v>6</v>
      </c>
      <c r="F7" s="31" t="n">
        <f aca="false">IFERROR(VLOOKUP(入力!K14,入力!$A$8:$C$17,2,FALSE()),0)</f>
        <v>6</v>
      </c>
      <c r="G7" s="31" t="n">
        <f aca="false">IFERROR(VLOOKUP(入力!L14,入力!$A$8:$C$17,2,FALSE()),0)</f>
        <v>6</v>
      </c>
    </row>
    <row r="8" customFormat="false" ht="18" hidden="false" customHeight="false" outlineLevel="0" collapsed="false">
      <c r="A8" s="28" t="n">
        <v>200</v>
      </c>
      <c r="B8" s="31" t="n">
        <f aca="false">IFERROR(VLOOKUP(入力!G15,入力!$A$8:$C$17,2,FALSE()),0)</f>
        <v>7</v>
      </c>
      <c r="C8" s="31" t="n">
        <f aca="false">IFERROR(VLOOKUP(入力!H15,入力!$A$8:$C$17,2,FALSE()),0)</f>
        <v>7</v>
      </c>
      <c r="D8" s="31" t="n">
        <f aca="false">IFERROR(VLOOKUP(入力!I15,入力!$A$8:$C$17,2,FALSE()),0)</f>
        <v>7</v>
      </c>
      <c r="E8" s="31" t="n">
        <f aca="false">IFERROR(VLOOKUP(入力!J15,入力!$A$8:$C$17,2,FALSE()),0)</f>
        <v>7</v>
      </c>
      <c r="F8" s="31" t="n">
        <f aca="false">IFERROR(VLOOKUP(入力!K15,入力!$A$8:$C$17,2,FALSE()),0)</f>
        <v>7</v>
      </c>
      <c r="G8" s="31" t="n">
        <f aca="false">IFERROR(VLOOKUP(入力!L15,入力!$A$8:$C$17,2,FALSE()),0)</f>
        <v>6</v>
      </c>
    </row>
    <row r="9" customFormat="false" ht="18" hidden="false" customHeight="false" outlineLevel="0" collapsed="false">
      <c r="A9" s="28" t="n">
        <v>150</v>
      </c>
      <c r="B9" s="31" t="n">
        <f aca="false">IFERROR(VLOOKUP(入力!G16,入力!$A$8:$C$17,2,FALSE()),0)</f>
        <v>8</v>
      </c>
      <c r="C9" s="31" t="n">
        <f aca="false">IFERROR(VLOOKUP(入力!H16,入力!$A$8:$C$17,2,FALSE()),0)</f>
        <v>8</v>
      </c>
      <c r="D9" s="31" t="n">
        <f aca="false">IFERROR(VLOOKUP(入力!I16,入力!$A$8:$C$17,2,FALSE()),0)</f>
        <v>8</v>
      </c>
      <c r="E9" s="31" t="n">
        <f aca="false">IFERROR(VLOOKUP(入力!J16,入力!$A$8:$C$17,2,FALSE()),0)</f>
        <v>8</v>
      </c>
      <c r="F9" s="31" t="n">
        <f aca="false">IFERROR(VLOOKUP(入力!K16,入力!$A$8:$C$17,2,FALSE()),0)</f>
        <v>7</v>
      </c>
      <c r="G9" s="31" t="n">
        <f aca="false">IFERROR(VLOOKUP(入力!L16,入力!$A$8:$C$17,2,FALSE()),0)</f>
        <v>6</v>
      </c>
    </row>
    <row r="10" customFormat="false" ht="18" hidden="false" customHeight="false" outlineLevel="0" collapsed="false">
      <c r="A10" s="28" t="n">
        <v>100</v>
      </c>
      <c r="B10" s="31" t="n">
        <f aca="false">IFERROR(VLOOKUP(入力!G17,入力!$A$8:$C$17,2,FALSE()),0)</f>
        <v>9</v>
      </c>
      <c r="C10" s="31" t="n">
        <f aca="false">IFERROR(VLOOKUP(入力!H17,入力!$A$8:$C$17,2,FALSE()),0)</f>
        <v>9</v>
      </c>
      <c r="D10" s="31" t="n">
        <f aca="false">IFERROR(VLOOKUP(入力!I17,入力!$A$8:$C$17,2,FALSE()),0)</f>
        <v>9</v>
      </c>
      <c r="E10" s="31" t="n">
        <f aca="false">IFERROR(VLOOKUP(入力!J17,入力!$A$8:$C$17,2,FALSE()),0)</f>
        <v>8</v>
      </c>
      <c r="F10" s="31" t="n">
        <f aca="false">IFERROR(VLOOKUP(入力!K17,入力!$A$8:$C$17,2,FALSE()),0)</f>
        <v>7</v>
      </c>
      <c r="G10" s="31" t="n">
        <f aca="false">IFERROR(VLOOKUP(入力!L17,入力!$A$8:$C$17,2,FALSE()),0)</f>
        <v>6</v>
      </c>
    </row>
    <row r="11" customFormat="false" ht="18" hidden="false" customHeight="false" outlineLevel="0" collapsed="false">
      <c r="A11" s="32" t="n">
        <v>0</v>
      </c>
      <c r="B11" s="31" t="n">
        <f aca="false">IFERROR(VLOOKUP(入力!G18,入力!$A$8:$C$17,2,FALSE()),0)</f>
        <v>10</v>
      </c>
      <c r="C11" s="31" t="n">
        <f aca="false">IFERROR(VLOOKUP(入力!H18,入力!$A$8:$C$17,2,FALSE()),0)</f>
        <v>10</v>
      </c>
      <c r="D11" s="31" t="n">
        <f aca="false">IFERROR(VLOOKUP(入力!I18,入力!$A$8:$C$17,2,FALSE()),0)</f>
        <v>9</v>
      </c>
      <c r="E11" s="31" t="n">
        <f aca="false">IFERROR(VLOOKUP(入力!J18,入力!$A$8:$C$17,2,FALSE()),0)</f>
        <v>8</v>
      </c>
      <c r="F11" s="31" t="n">
        <f aca="false">IFERROR(VLOOKUP(入力!K18,入力!$A$8:$C$17,2,FALSE()),0)</f>
        <v>7</v>
      </c>
      <c r="G11" s="31" t="n">
        <f aca="false">IFERROR(VLOOKUP(入力!L18,入力!$A$8:$C$17,2,FALSE()),0)</f>
        <v>6</v>
      </c>
    </row>
    <row r="15" customFormat="false" ht="18" hidden="false" customHeight="false" outlineLevel="0" collapsed="false">
      <c r="A15" s="33" t="s">
        <v>33</v>
      </c>
      <c r="B15" s="33" t="s">
        <v>34</v>
      </c>
    </row>
    <row r="16" customFormat="false" ht="18" hidden="false" customHeight="false" outlineLevel="0" collapsed="false">
      <c r="A16" s="33" t="n">
        <v>10</v>
      </c>
      <c r="B16" s="31" t="str">
        <f aca="false">入力!A8</f>
        <v>10：集材作業効率高い</v>
      </c>
    </row>
    <row r="17" customFormat="false" ht="18" hidden="false" customHeight="false" outlineLevel="0" collapsed="false">
      <c r="A17" s="33" t="n">
        <v>9</v>
      </c>
      <c r="B17" s="31" t="n">
        <f aca="false">入力!A9</f>
        <v>9</v>
      </c>
    </row>
    <row r="18" customFormat="false" ht="18" hidden="false" customHeight="false" outlineLevel="0" collapsed="false">
      <c r="A18" s="33" t="n">
        <v>8</v>
      </c>
      <c r="B18" s="31" t="n">
        <f aca="false">入力!A10</f>
        <v>8</v>
      </c>
    </row>
    <row r="19" customFormat="false" ht="18" hidden="false" customHeight="false" outlineLevel="0" collapsed="false">
      <c r="A19" s="33" t="n">
        <v>7</v>
      </c>
      <c r="B19" s="31" t="n">
        <f aca="false">入力!A11</f>
        <v>7</v>
      </c>
    </row>
    <row r="20" customFormat="false" ht="18" hidden="false" customHeight="false" outlineLevel="0" collapsed="false">
      <c r="A20" s="33" t="n">
        <v>6</v>
      </c>
      <c r="B20" s="31" t="n">
        <f aca="false">入力!A12</f>
        <v>6</v>
      </c>
    </row>
    <row r="21" customFormat="false" ht="18" hidden="false" customHeight="false" outlineLevel="0" collapsed="false">
      <c r="A21" s="33" t="n">
        <v>5</v>
      </c>
      <c r="B21" s="31" t="n">
        <f aca="false">入力!A13</f>
        <v>5</v>
      </c>
    </row>
    <row r="22" customFormat="false" ht="18" hidden="false" customHeight="false" outlineLevel="0" collapsed="false">
      <c r="A22" s="33" t="n">
        <v>4</v>
      </c>
      <c r="B22" s="31" t="n">
        <f aca="false">入力!A14</f>
        <v>4</v>
      </c>
    </row>
    <row r="23" customFormat="false" ht="18" hidden="false" customHeight="false" outlineLevel="0" collapsed="false">
      <c r="A23" s="33" t="n">
        <v>3</v>
      </c>
      <c r="B23" s="31" t="n">
        <f aca="false">入力!A15</f>
        <v>3</v>
      </c>
    </row>
    <row r="24" customFormat="false" ht="18" hidden="false" customHeight="false" outlineLevel="0" collapsed="false">
      <c r="A24" s="33" t="n">
        <v>2</v>
      </c>
      <c r="B24" s="31" t="n">
        <f aca="false">入力!A16</f>
        <v>2</v>
      </c>
    </row>
    <row r="25" customFormat="false" ht="18" hidden="false" customHeight="false" outlineLevel="0" collapsed="false">
      <c r="A25" s="33" t="n">
        <v>1</v>
      </c>
      <c r="B25" s="31" t="str">
        <f aca="false">入力!A17</f>
        <v>１：集材作業効率低い</v>
      </c>
    </row>
    <row r="26" customFormat="false" ht="18" hidden="false" customHeight="false" outlineLevel="0" collapsed="false">
      <c r="A26" s="33" t="n">
        <v>0</v>
      </c>
      <c r="B26" s="33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2021-06-18T08:56:38Z</dcterms:created>
  <dc:creator>naoka_ogaya</dc:creator>
  <dc:description/>
  <dc:language>ja-JP</dc:language>
  <cp:lastModifiedBy/>
  <dcterms:modified xsi:type="dcterms:W3CDTF">2026-10-05T10:59:32Z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